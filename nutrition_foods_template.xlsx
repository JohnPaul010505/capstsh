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Foo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<sst xmlns="http://schemas.openxmlformats.org/spreadsheetml/2006/main" count="400" uniqueCount="168">
  <si>
    <t xml:space="preserve">FitSight — nutrition_foods Starter Template</t>
  </si>
  <si>
    <t xml:space="preserve">Purpose</t>
  </si>
  <si>
    <t xml:space="preserve">Fill in verified nutrition values for common Filipino dishes so this can be seeded into the app's nutrition_foods Supabase table.</t>
  </si>
  <si>
    <t xml:space="preserve">How to fill it in</t>
  </si>
  <si>
    <t xml:space="preserve">Go to the 'Foods' tab. For each food_name, look it up at https://i.fnri.dost.gov.ph/fct/library/starting_pg (DOST-FNRI PhilFCT). Enter serving_size_g, calories_kcal, protein_g, carbs_g, fat_g from the result. Leave source as 'DOST-FNRI PhilFCT' unless you used USDA as a fallback.</t>
  </si>
  <si>
    <t xml:space="preserve">Yellow cells</t>
  </si>
  <si>
    <t xml:space="preserve">Cells you need to fill in. Everything else (formulas, headers) should stay as-is.</t>
  </si>
  <si>
    <t xml:space="preserve">calc_check_kcal column</t>
  </si>
  <si>
    <t xml:space="preserve">Auto-computed from protein/carbs/fat using Atwater factors (4/4/9 kcal per gram). Compare against your entered calories_kcal — if they're very different, double-check the source value (some listed calories include fiber/alcohol adjustments FNRI applies).</t>
  </si>
  <si>
    <t xml:space="preserve">Row 1 example</t>
  </si>
  <si>
    <t xml:space="preserve">Shows the expected format only. Values are illustrative placeholders, NOT verified data — replace before using, do not cite as real FNRI figures.</t>
  </si>
  <si>
    <t xml:space="preserve">Adding more foods</t>
  </si>
  <si>
    <t xml:space="preserve">Add new rows below the last one, keeping the same columns. Order doesn't matter.</t>
  </si>
  <si>
    <t xml:space="preserve">food_name</t>
  </si>
  <si>
    <t xml:space="preserve">aliases</t>
  </si>
  <si>
    <t xml:space="preserve">category</t>
  </si>
  <si>
    <t xml:space="preserve">serving_label</t>
  </si>
  <si>
    <t xml:space="preserve">serving_size_g</t>
  </si>
  <si>
    <t xml:space="preserve">calories_kcal</t>
  </si>
  <si>
    <t xml:space="preserve">protein_g</t>
  </si>
  <si>
    <t xml:space="preserve">carbs_g</t>
  </si>
  <si>
    <t xml:space="preserve">fat_g</t>
  </si>
  <si>
    <t xml:space="preserve">calc_check_kcal</t>
  </si>
  <si>
    <t xml:space="preserve">source</t>
  </si>
  <si>
    <t xml:space="preserve">notes</t>
  </si>
  <si>
    <t xml:space="preserve">Chicken Adobo (EXAMPLE)</t>
  </si>
  <si>
    <t xml:space="preserve">Adobong Manok</t>
  </si>
  <si>
    <t xml:space="preserve">Viand</t>
  </si>
  <si>
    <t xml:space="preserve">1 cup, cooked</t>
  </si>
  <si>
    <t xml:space="preserve">PLACEHOLDER - verify</t>
  </si>
  <si>
    <t xml:space="preserve">Illustrative format only - replace with verified PhilFCT value</t>
  </si>
  <si>
    <t xml:space="preserve">Chicken Adobo</t>
  </si>
  <si>
    <t xml:space="preserve">DOST-FNRI PhilFCT</t>
  </si>
  <si>
    <t xml:space="preserve">Pork Adobo</t>
  </si>
  <si>
    <t xml:space="preserve">Sinigang na Baboy</t>
  </si>
  <si>
    <t xml:space="preserve">Soup</t>
  </si>
  <si>
    <t xml:space="preserve">Sinigang na Isda</t>
  </si>
  <si>
    <t xml:space="preserve">Sisig</t>
  </si>
  <si>
    <t xml:space="preserve">Pork Tocino</t>
  </si>
  <si>
    <t xml:space="preserve">Beef Tapa</t>
  </si>
  <si>
    <t xml:space="preserve">Longganisa</t>
  </si>
  <si>
    <t xml:space="preserve">Tinola</t>
  </si>
  <si>
    <t xml:space="preserve">Bulalo</t>
  </si>
  <si>
    <t xml:space="preserve">Kare-Kare</t>
  </si>
  <si>
    <t xml:space="preserve">Menudo</t>
  </si>
  <si>
    <t xml:space="preserve">Afritada</t>
  </si>
  <si>
    <t xml:space="preserve">Caldereta</t>
  </si>
  <si>
    <t xml:space="preserve">Bicol Express</t>
  </si>
  <si>
    <t xml:space="preserve">Pinakbet</t>
  </si>
  <si>
    <t xml:space="preserve">Vegetable</t>
  </si>
  <si>
    <t xml:space="preserve">Chopsuey</t>
  </si>
  <si>
    <t xml:space="preserve">Ginisang Monggo</t>
  </si>
  <si>
    <t xml:space="preserve">Lumpiang Shanghai</t>
  </si>
  <si>
    <t xml:space="preserve">Snack</t>
  </si>
  <si>
    <t xml:space="preserve">Lumpiang Sariwa</t>
  </si>
  <si>
    <t xml:space="preserve">Pancit Canton</t>
  </si>
  <si>
    <t xml:space="preserve">Noodle</t>
  </si>
  <si>
    <t xml:space="preserve">Pancit Bihon</t>
  </si>
  <si>
    <t xml:space="preserve">Sotanghon</t>
  </si>
  <si>
    <t xml:space="preserve">Fried Rice (Sinangag)</t>
  </si>
  <si>
    <t xml:space="preserve">Rice/Grain</t>
  </si>
  <si>
    <t xml:space="preserve">Plain White Rice</t>
  </si>
  <si>
    <t xml:space="preserve">Lechon Kawali</t>
  </si>
  <si>
    <t xml:space="preserve">Crispy Pata</t>
  </si>
  <si>
    <t xml:space="preserve">Fried Chicken (Filipino style)</t>
  </si>
  <si>
    <t xml:space="preserve">Tilapia, Fried</t>
  </si>
  <si>
    <t xml:space="preserve">Bangus, Fried</t>
  </si>
  <si>
    <t xml:space="preserve">Daing na Bangus</t>
  </si>
  <si>
    <t xml:space="preserve">Tortang Talong</t>
  </si>
  <si>
    <t xml:space="preserve">Tortang Giniling</t>
  </si>
  <si>
    <t xml:space="preserve">Ginataang Gulay</t>
  </si>
  <si>
    <t xml:space="preserve">Laing</t>
  </si>
  <si>
    <t xml:space="preserve">Dinuguan</t>
  </si>
  <si>
    <t xml:space="preserve">Pork Sinigang na may Kangkong</t>
  </si>
  <si>
    <t xml:space="preserve">Champorado</t>
  </si>
  <si>
    <t xml:space="preserve">Arroz Caldo</t>
  </si>
  <si>
    <t xml:space="preserve">Goto</t>
  </si>
  <si>
    <t xml:space="preserve">Pandesal</t>
  </si>
  <si>
    <t xml:space="preserve">Bread</t>
  </si>
  <si>
    <t xml:space="preserve">Ensaymada</t>
  </si>
  <si>
    <t xml:space="preserve">Turon</t>
  </si>
  <si>
    <t xml:space="preserve">Banana Cue</t>
  </si>
  <si>
    <t xml:space="preserve">Halo-Halo</t>
  </si>
  <si>
    <t xml:space="preserve">Dessert</t>
  </si>
  <si>
    <t xml:space="preserve">Leche Flan</t>
  </si>
  <si>
    <t xml:space="preserve">Suman</t>
  </si>
  <si>
    <t xml:space="preserve">Puto</t>
  </si>
  <si>
    <t xml:space="preserve">Bibingka</t>
  </si>
  <si>
    <t xml:space="preserve">Boiled Egg</t>
  </si>
  <si>
    <t xml:space="preserve">Protein</t>
  </si>
  <si>
    <t xml:space="preserve">Grilled Chicken Breast</t>
  </si>
  <si>
    <t xml:space="preserve">Tapsilog (Tapa, Egg, Rice)</t>
  </si>
  <si>
    <t xml:space="preserve">Breakfast</t>
  </si>
  <si>
    <t xml:space="preserve">Tocilog (Tocino, Egg, Rice)</t>
  </si>
  <si>
    <t xml:space="preserve">Longsilog (Longganisa, Egg, Rice)</t>
  </si>
  <si>
    <t xml:space="preserve">Bangsilog (Bangus, Egg, Rice)</t>
  </si>
  <si>
    <t xml:space="preserve">Spamsilog (Spam, Egg, Rice)</t>
  </si>
  <si>
    <t xml:space="preserve">Corned Beef</t>
  </si>
  <si>
    <t xml:space="preserve">Pan de Sal with Filling</t>
  </si>
  <si>
    <t xml:space="preserve">Taho</t>
  </si>
  <si>
    <t xml:space="preserve">Chicken Curry (Filipino style)</t>
  </si>
  <si>
    <t xml:space="preserve">Beef Steak (Bistek Tagalog)</t>
  </si>
  <si>
    <t xml:space="preserve">Pork Sinigang sa Miso</t>
  </si>
  <si>
    <t xml:space="preserve">Ginataang Manok</t>
  </si>
  <si>
    <t xml:space="preserve">Chicken Inasal</t>
  </si>
  <si>
    <t xml:space="preserve">Pork Barbecue (BBQ stick)</t>
  </si>
  <si>
    <t xml:space="preserve">Chicken Barbecue (BBQ stick)</t>
  </si>
  <si>
    <t xml:space="preserve">Pork Humba</t>
  </si>
  <si>
    <t xml:space="preserve">Beef Nilaga</t>
  </si>
  <si>
    <t xml:space="preserve">Pork Nilaga</t>
  </si>
  <si>
    <t xml:space="preserve">Chicken Mami</t>
  </si>
  <si>
    <t xml:space="preserve">Bopis</t>
  </si>
  <si>
    <t xml:space="preserve">Pork Igado</t>
  </si>
  <si>
    <t xml:space="preserve">Beef Mechado</t>
  </si>
  <si>
    <t xml:space="preserve">Ginataang Sitaw at Kalabasa</t>
  </si>
  <si>
    <t xml:space="preserve">Ampalaya con Carne</t>
  </si>
  <si>
    <t xml:space="preserve">Adobong Kangkong</t>
  </si>
  <si>
    <t xml:space="preserve">Ensaladang Talong</t>
  </si>
  <si>
    <t xml:space="preserve">Atchara</t>
  </si>
  <si>
    <t xml:space="preserve">Kinilaw na Isda</t>
  </si>
  <si>
    <t xml:space="preserve">Seafood</t>
  </si>
  <si>
    <t xml:space="preserve">Pusit (Grilled Squid)</t>
  </si>
  <si>
    <t xml:space="preserve">Rellenong Bangus</t>
  </si>
  <si>
    <t xml:space="preserve">Ginataang Hipon</t>
  </si>
  <si>
    <t xml:space="preserve">Adobong Pusit</t>
  </si>
  <si>
    <t xml:space="preserve">Sinigang na Hipon</t>
  </si>
  <si>
    <t xml:space="preserve">Tuna, Canned in Oil</t>
  </si>
  <si>
    <t xml:space="preserve">Sardines, Canned in Tomato Sauce</t>
  </si>
  <si>
    <t xml:space="preserve">Java Rice</t>
  </si>
  <si>
    <t xml:space="preserve">Bam-i (Cebu-style Pancit)</t>
  </si>
  <si>
    <t xml:space="preserve">Pancit Palabok</t>
  </si>
  <si>
    <t xml:space="preserve">Pancit Malabon</t>
  </si>
  <si>
    <t xml:space="preserve">Batchoy</t>
  </si>
  <si>
    <t xml:space="preserve">Lomi</t>
  </si>
  <si>
    <t xml:space="preserve">Fishball (street food)</t>
  </si>
  <si>
    <t xml:space="preserve">Street Food</t>
  </si>
  <si>
    <t xml:space="preserve">Kwek-Kwek</t>
  </si>
  <si>
    <t xml:space="preserve">Isaw (grilled)</t>
  </si>
  <si>
    <t xml:space="preserve">Kikiam</t>
  </si>
  <si>
    <t xml:space="preserve">Squid Ball (street food)</t>
  </si>
  <si>
    <t xml:space="preserve">Empanada</t>
  </si>
  <si>
    <t xml:space="preserve">Siopao Asado</t>
  </si>
  <si>
    <t xml:space="preserve">Siomai</t>
  </si>
  <si>
    <t xml:space="preserve">Maruya (Banana Fritter)</t>
  </si>
  <si>
    <t xml:space="preserve">Camote Cue</t>
  </si>
  <si>
    <t xml:space="preserve">Ukoy</t>
  </si>
  <si>
    <t xml:space="preserve">Chicharon</t>
  </si>
  <si>
    <t xml:space="preserve">Cheese Bread</t>
  </si>
  <si>
    <t xml:space="preserve">Spanish Bread</t>
  </si>
  <si>
    <t xml:space="preserve">Polvoron</t>
  </si>
  <si>
    <t xml:space="preserve">Sapin-Sapin</t>
  </si>
  <si>
    <t xml:space="preserve">Cassava Cake</t>
  </si>
  <si>
    <t xml:space="preserve">Buko Pandan</t>
  </si>
  <si>
    <t xml:space="preserve">Maja Blanca</t>
  </si>
  <si>
    <t xml:space="preserve">Ube Halaya</t>
  </si>
  <si>
    <t xml:space="preserve">Banana (Lakatan/Saba)</t>
  </si>
  <si>
    <t xml:space="preserve">Fruit</t>
  </si>
  <si>
    <t xml:space="preserve">Mango, Ripe</t>
  </si>
  <si>
    <t xml:space="preserve">Papaya</t>
  </si>
  <si>
    <t xml:space="preserve">Watermelon</t>
  </si>
  <si>
    <t xml:space="preserve">Pineapple</t>
  </si>
  <si>
    <t xml:space="preserve">Calamansi Juice (unsweetened)</t>
  </si>
  <si>
    <t xml:space="preserve">Beverage</t>
  </si>
  <si>
    <t xml:space="preserve">Buko Juice (Coconut Water)</t>
  </si>
  <si>
    <t xml:space="preserve">Sago't Gulaman</t>
  </si>
  <si>
    <t xml:space="preserve">Iced Tea (sweetened)</t>
  </si>
  <si>
    <t xml:space="preserve">Brewed Coffee, Black</t>
  </si>
  <si>
    <t xml:space="preserve">3-in-1 Coffee Mix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</si>
</sst>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1C1E"/>
        <bgColor rgb="FF333300"/>
      </patternFill>
    </fill>
    <fill>
      <patternFill patternType="solid">
        <fgColor rgb="FFE0E0E0"/>
        <bgColor rgb="FFCCCCCC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1"/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45" hidden="false" customHeight="true" outlineLevel="0" collapsed="false">
      <c r="A4" s="2" t="s">
        <v>3</v>
      </c>
      <c r="B4" s="3" t="s">
        <v>4</v>
      </c>
    </row>
    <row r="5" customFormat="false" ht="45" hidden="false" customHeight="true" outlineLevel="0" collapsed="false">
      <c r="A5" s="2" t="s">
        <v>5</v>
      </c>
      <c r="B5" s="3" t="s">
        <v>6</v>
      </c>
    </row>
    <row r="6" customFormat="false" ht="45" hidden="false" customHeight="true" outlineLevel="0" collapsed="false">
      <c r="A6" s="2" t="s">
        <v>7</v>
      </c>
      <c r="B6" s="3" t="s">
        <v>8</v>
      </c>
    </row>
    <row r="7" customFormat="false" ht="45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28"/>
  </cols>
  <sheetData>
    <row r="1" customFormat="false" ht="26.8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</row>
    <row r="2" customFormat="false" ht="15" hidden="false" customHeight="false" outlineLevel="0" collapsed="false">
      <c r="A2" s="5" t="s">
        <v>25</v>
      </c>
      <c r="B2" s="5" t="s">
        <v>26</v>
      </c>
      <c r="C2" s="5" t="s">
        <v>27</v>
      </c>
      <c r="D2" s="5" t="s">
        <v>28</v>
      </c>
      <c r="E2" s="5" t="n">
        <v>150</v>
      </c>
      <c r="F2" s="5" t="n">
        <v>250</v>
      </c>
      <c r="G2" s="5" t="n">
        <v>20</v>
      </c>
      <c r="H2" s="5" t="n">
        <v>5</v>
      </c>
      <c r="I2" s="5" t="n">
        <v>17</v>
      </c>
      <c r="J2" s="5" t="n">
        <f aca="false">(G2*4)+(H2*4)+(I2*9)</f>
        <v>253</v>
      </c>
      <c r="K2" s="5" t="s">
        <v>29</v>
      </c>
      <c r="L2" s="5" t="s">
        <v>30</v>
      </c>
    </row>
    <row r="3" customFormat="false" ht="15" hidden="false" customHeight="false" outlineLevel="0" collapsed="false">
      <c r="A3" s="6" t="s">
        <v>31</v>
      </c>
      <c r="B3" s="7"/>
      <c r="C3" s="6" t="s">
        <v>27</v>
      </c>
      <c r="D3" s="7"/>
      <c r="E3" s="7"/>
      <c r="F3" s="7"/>
      <c r="G3" s="7"/>
      <c r="H3" s="7"/>
      <c r="I3" s="7"/>
      <c r="J3" s="6" t="str">
        <f aca="false">IF(AND(G3&lt;&gt;"",H3&lt;&gt;"",I3&lt;&gt;""),(G3*4)+(H3*4)+(I3*9),"")</f>
        <v/>
      </c>
      <c r="K3" s="6" t="s">
        <v>32</v>
      </c>
      <c r="L3" s="6"/>
    </row>
    <row r="4" customFormat="false" ht="15" hidden="false" customHeight="false" outlineLevel="0" collapsed="false">
      <c r="A4" s="6" t="s">
        <v>33</v>
      </c>
      <c r="B4" s="7"/>
      <c r="C4" s="6" t="s">
        <v>27</v>
      </c>
      <c r="D4" s="7"/>
      <c r="E4" s="7"/>
      <c r="F4" s="7"/>
      <c r="G4" s="7"/>
      <c r="H4" s="7"/>
      <c r="I4" s="7"/>
      <c r="J4" s="6" t="str">
        <f aca="false">IF(AND(G4&lt;&gt;"",H4&lt;&gt;"",I4&lt;&gt;""),(G4*4)+(H4*4)+(I4*9),"")</f>
        <v/>
      </c>
      <c r="K4" s="6" t="s">
        <v>32</v>
      </c>
      <c r="L4" s="6"/>
    </row>
    <row r="5" customFormat="false" ht="15" hidden="false" customHeight="false" outlineLevel="0" collapsed="false">
      <c r="A5" s="6" t="s">
        <v>34</v>
      </c>
      <c r="B5" s="7"/>
      <c r="C5" s="6" t="s">
        <v>35</v>
      </c>
      <c r="D5" s="7"/>
      <c r="E5" s="7"/>
      <c r="F5" s="7"/>
      <c r="G5" s="7"/>
      <c r="H5" s="7"/>
      <c r="I5" s="7"/>
      <c r="J5" s="6" t="str">
        <f aca="false">IF(AND(G5&lt;&gt;"",H5&lt;&gt;"",I5&lt;&gt;""),(G5*4)+(H5*4)+(I5*9),"")</f>
        <v/>
      </c>
      <c r="K5" s="6" t="s">
        <v>32</v>
      </c>
      <c r="L5" s="6"/>
    </row>
    <row r="6" customFormat="false" ht="15" hidden="false" customHeight="false" outlineLevel="0" collapsed="false">
      <c r="A6" s="6" t="s">
        <v>36</v>
      </c>
      <c r="B6" s="7"/>
      <c r="C6" s="6" t="s">
        <v>35</v>
      </c>
      <c r="D6" s="7"/>
      <c r="E6" s="7"/>
      <c r="F6" s="7"/>
      <c r="G6" s="7"/>
      <c r="H6" s="7"/>
      <c r="I6" s="7"/>
      <c r="J6" s="6" t="str">
        <f aca="false">IF(AND(G6&lt;&gt;"",H6&lt;&gt;"",I6&lt;&gt;""),(G6*4)+(H6*4)+(I6*9),"")</f>
        <v/>
      </c>
      <c r="K6" s="6" t="s">
        <v>32</v>
      </c>
      <c r="L6" s="6"/>
    </row>
    <row r="7" customFormat="false" ht="15" hidden="false" customHeight="false" outlineLevel="0" collapsed="false">
      <c r="A7" s="6" t="s">
        <v>37</v>
      </c>
      <c r="B7" s="7"/>
      <c r="C7" s="6" t="s">
        <v>27</v>
      </c>
      <c r="D7" s="7"/>
      <c r="E7" s="7"/>
      <c r="F7" s="7"/>
      <c r="G7" s="7"/>
      <c r="H7" s="7"/>
      <c r="I7" s="7"/>
      <c r="J7" s="6" t="str">
        <f aca="false">IF(AND(G7&lt;&gt;"",H7&lt;&gt;"",I7&lt;&gt;""),(G7*4)+(H7*4)+(I7*9),"")</f>
        <v/>
      </c>
      <c r="K7" s="6" t="s">
        <v>32</v>
      </c>
      <c r="L7" s="6"/>
    </row>
    <row r="8" customFormat="false" ht="15" hidden="false" customHeight="false" outlineLevel="0" collapsed="false">
      <c r="A8" s="6" t="s">
        <v>38</v>
      </c>
      <c r="B8" s="7"/>
      <c r="C8" s="6" t="s">
        <v>27</v>
      </c>
      <c r="D8" s="7"/>
      <c r="E8" s="7"/>
      <c r="F8" s="7"/>
      <c r="G8" s="7"/>
      <c r="H8" s="7"/>
      <c r="I8" s="7"/>
      <c r="J8" s="6" t="str">
        <f aca="false">IF(AND(G8&lt;&gt;"",H8&lt;&gt;"",I8&lt;&gt;""),(G8*4)+(H8*4)+(I8*9),"")</f>
        <v/>
      </c>
      <c r="K8" s="6" t="s">
        <v>32</v>
      </c>
      <c r="L8" s="6"/>
    </row>
    <row r="9" customFormat="false" ht="15" hidden="false" customHeight="false" outlineLevel="0" collapsed="false">
      <c r="A9" s="6" t="s">
        <v>39</v>
      </c>
      <c r="B9" s="7"/>
      <c r="C9" s="6" t="s">
        <v>27</v>
      </c>
      <c r="D9" s="7"/>
      <c r="E9" s="7"/>
      <c r="F9" s="7"/>
      <c r="G9" s="7"/>
      <c r="H9" s="7"/>
      <c r="I9" s="7"/>
      <c r="J9" s="6" t="str">
        <f aca="false">IF(AND(G9&lt;&gt;"",H9&lt;&gt;"",I9&lt;&gt;""),(G9*4)+(H9*4)+(I9*9),"")</f>
        <v/>
      </c>
      <c r="K9" s="6" t="s">
        <v>32</v>
      </c>
      <c r="L9" s="6"/>
    </row>
    <row r="10" customFormat="false" ht="15" hidden="false" customHeight="false" outlineLevel="0" collapsed="false">
      <c r="A10" s="6" t="s">
        <v>40</v>
      </c>
      <c r="B10" s="7"/>
      <c r="C10" s="6" t="s">
        <v>27</v>
      </c>
      <c r="D10" s="7"/>
      <c r="E10" s="7"/>
      <c r="F10" s="7"/>
      <c r="G10" s="7"/>
      <c r="H10" s="7"/>
      <c r="I10" s="7"/>
      <c r="J10" s="6" t="str">
        <f aca="false">IF(AND(G10&lt;&gt;"",H10&lt;&gt;"",I10&lt;&gt;""),(G10*4)+(H10*4)+(I10*9),"")</f>
        <v/>
      </c>
      <c r="K10" s="6" t="s">
        <v>32</v>
      </c>
      <c r="L10" s="6"/>
    </row>
    <row r="11" customFormat="false" ht="15" hidden="false" customHeight="false" outlineLevel="0" collapsed="false">
      <c r="A11" s="6" t="s">
        <v>41</v>
      </c>
      <c r="B11" s="7"/>
      <c r="C11" s="6" t="s">
        <v>35</v>
      </c>
      <c r="D11" s="7"/>
      <c r="E11" s="7"/>
      <c r="F11" s="7"/>
      <c r="G11" s="7"/>
      <c r="H11" s="7"/>
      <c r="I11" s="7"/>
      <c r="J11" s="6" t="str">
        <f aca="false">IF(AND(G11&lt;&gt;"",H11&lt;&gt;"",I11&lt;&gt;""),(G11*4)+(H11*4)+(I11*9),"")</f>
        <v/>
      </c>
      <c r="K11" s="6" t="s">
        <v>32</v>
      </c>
      <c r="L11" s="6"/>
    </row>
    <row r="12" customFormat="false" ht="15" hidden="false" customHeight="false" outlineLevel="0" collapsed="false">
      <c r="A12" s="6" t="s">
        <v>42</v>
      </c>
      <c r="B12" s="7"/>
      <c r="C12" s="6" t="s">
        <v>35</v>
      </c>
      <c r="D12" s="7"/>
      <c r="E12" s="7"/>
      <c r="F12" s="7"/>
      <c r="G12" s="7"/>
      <c r="H12" s="7"/>
      <c r="I12" s="7"/>
      <c r="J12" s="6" t="str">
        <f aca="false">IF(AND(G12&lt;&gt;"",H12&lt;&gt;"",I12&lt;&gt;""),(G12*4)+(H12*4)+(I12*9),"")</f>
        <v/>
      </c>
      <c r="K12" s="6" t="s">
        <v>32</v>
      </c>
      <c r="L12" s="6"/>
    </row>
    <row r="13" customFormat="false" ht="15" hidden="false" customHeight="false" outlineLevel="0" collapsed="false">
      <c r="A13" s="6" t="s">
        <v>43</v>
      </c>
      <c r="B13" s="7"/>
      <c r="C13" s="6" t="s">
        <v>27</v>
      </c>
      <c r="D13" s="7"/>
      <c r="E13" s="7"/>
      <c r="F13" s="7"/>
      <c r="G13" s="7"/>
      <c r="H13" s="7"/>
      <c r="I13" s="7"/>
      <c r="J13" s="6" t="str">
        <f aca="false">IF(AND(G13&lt;&gt;"",H13&lt;&gt;"",I13&lt;&gt;""),(G13*4)+(H13*4)+(I13*9),"")</f>
        <v/>
      </c>
      <c r="K13" s="6" t="s">
        <v>32</v>
      </c>
      <c r="L13" s="6"/>
    </row>
    <row r="14" customFormat="false" ht="15" hidden="false" customHeight="false" outlineLevel="0" collapsed="false">
      <c r="A14" s="6" t="s">
        <v>44</v>
      </c>
      <c r="B14" s="7"/>
      <c r="C14" s="6" t="s">
        <v>27</v>
      </c>
      <c r="D14" s="7"/>
      <c r="E14" s="7"/>
      <c r="F14" s="7"/>
      <c r="G14" s="7"/>
      <c r="H14" s="7"/>
      <c r="I14" s="7"/>
      <c r="J14" s="6" t="str">
        <f aca="false">IF(AND(G14&lt;&gt;"",H14&lt;&gt;"",I14&lt;&gt;""),(G14*4)+(H14*4)+(I14*9),"")</f>
        <v/>
      </c>
      <c r="K14" s="6" t="s">
        <v>32</v>
      </c>
      <c r="L14" s="6"/>
    </row>
    <row r="15" customFormat="false" ht="15" hidden="false" customHeight="false" outlineLevel="0" collapsed="false">
      <c r="A15" s="6" t="s">
        <v>45</v>
      </c>
      <c r="B15" s="7"/>
      <c r="C15" s="6" t="s">
        <v>27</v>
      </c>
      <c r="D15" s="7"/>
      <c r="E15" s="7"/>
      <c r="F15" s="7"/>
      <c r="G15" s="7"/>
      <c r="H15" s="7"/>
      <c r="I15" s="7"/>
      <c r="J15" s="6" t="str">
        <f aca="false">IF(AND(G15&lt;&gt;"",H15&lt;&gt;"",I15&lt;&gt;""),(G15*4)+(H15*4)+(I15*9),"")</f>
        <v/>
      </c>
      <c r="K15" s="6" t="s">
        <v>32</v>
      </c>
      <c r="L15" s="6"/>
    </row>
    <row r="16" customFormat="false" ht="15" hidden="false" customHeight="false" outlineLevel="0" collapsed="false">
      <c r="A16" s="6" t="s">
        <v>46</v>
      </c>
      <c r="B16" s="7"/>
      <c r="C16" s="6" t="s">
        <v>27</v>
      </c>
      <c r="D16" s="7"/>
      <c r="E16" s="7"/>
      <c r="F16" s="7"/>
      <c r="G16" s="7"/>
      <c r="H16" s="7"/>
      <c r="I16" s="7"/>
      <c r="J16" s="6" t="str">
        <f aca="false">IF(AND(G16&lt;&gt;"",H16&lt;&gt;"",I16&lt;&gt;""),(G16*4)+(H16*4)+(I16*9),"")</f>
        <v/>
      </c>
      <c r="K16" s="6" t="s">
        <v>32</v>
      </c>
      <c r="L16" s="6"/>
    </row>
    <row r="17" customFormat="false" ht="15" hidden="false" customHeight="false" outlineLevel="0" collapsed="false">
      <c r="A17" s="6" t="s">
        <v>47</v>
      </c>
      <c r="B17" s="7"/>
      <c r="C17" s="6" t="s">
        <v>27</v>
      </c>
      <c r="D17" s="7"/>
      <c r="E17" s="7"/>
      <c r="F17" s="7"/>
      <c r="G17" s="7"/>
      <c r="H17" s="7"/>
      <c r="I17" s="7"/>
      <c r="J17" s="6" t="str">
        <f aca="false">IF(AND(G17&lt;&gt;"",H17&lt;&gt;"",I17&lt;&gt;""),(G17*4)+(H17*4)+(I17*9),"")</f>
        <v/>
      </c>
      <c r="K17" s="6" t="s">
        <v>32</v>
      </c>
      <c r="L17" s="6"/>
    </row>
    <row r="18" customFormat="false" ht="15" hidden="false" customHeight="false" outlineLevel="0" collapsed="false">
      <c r="A18" s="6" t="s">
        <v>48</v>
      </c>
      <c r="B18" s="7"/>
      <c r="C18" s="6" t="s">
        <v>49</v>
      </c>
      <c r="D18" s="7"/>
      <c r="E18" s="7"/>
      <c r="F18" s="7"/>
      <c r="G18" s="7"/>
      <c r="H18" s="7"/>
      <c r="I18" s="7"/>
      <c r="J18" s="6" t="str">
        <f aca="false">IF(AND(G18&lt;&gt;"",H18&lt;&gt;"",I18&lt;&gt;""),(G18*4)+(H18*4)+(I18*9),"")</f>
        <v/>
      </c>
      <c r="K18" s="6" t="s">
        <v>32</v>
      </c>
      <c r="L18" s="6"/>
    </row>
    <row r="19" customFormat="false" ht="15" hidden="false" customHeight="false" outlineLevel="0" collapsed="false">
      <c r="A19" s="6" t="s">
        <v>50</v>
      </c>
      <c r="B19" s="7"/>
      <c r="C19" s="6" t="s">
        <v>49</v>
      </c>
      <c r="D19" s="7"/>
      <c r="E19" s="7"/>
      <c r="F19" s="7"/>
      <c r="G19" s="7"/>
      <c r="H19" s="7"/>
      <c r="I19" s="7"/>
      <c r="J19" s="6" t="str">
        <f aca="false">IF(AND(G19&lt;&gt;"",H19&lt;&gt;"",I19&lt;&gt;""),(G19*4)+(H19*4)+(I19*9),"")</f>
        <v/>
      </c>
      <c r="K19" s="6" t="s">
        <v>32</v>
      </c>
      <c r="L19" s="6"/>
    </row>
    <row r="20" customFormat="false" ht="15" hidden="false" customHeight="false" outlineLevel="0" collapsed="false">
      <c r="A20" s="6" t="s">
        <v>51</v>
      </c>
      <c r="B20" s="7"/>
      <c r="C20" s="6" t="s">
        <v>27</v>
      </c>
      <c r="D20" s="7"/>
      <c r="E20" s="7"/>
      <c r="F20" s="7"/>
      <c r="G20" s="7"/>
      <c r="H20" s="7"/>
      <c r="I20" s="7"/>
      <c r="J20" s="6" t="str">
        <f aca="false">IF(AND(G20&lt;&gt;"",H20&lt;&gt;"",I20&lt;&gt;""),(G20*4)+(H20*4)+(I20*9),"")</f>
        <v/>
      </c>
      <c r="K20" s="6" t="s">
        <v>32</v>
      </c>
      <c r="L20" s="6"/>
    </row>
    <row r="21" customFormat="false" ht="15" hidden="false" customHeight="false" outlineLevel="0" collapsed="false">
      <c r="A21" s="6" t="s">
        <v>52</v>
      </c>
      <c r="B21" s="7"/>
      <c r="C21" s="6" t="s">
        <v>53</v>
      </c>
      <c r="D21" s="7"/>
      <c r="E21" s="7"/>
      <c r="F21" s="7"/>
      <c r="G21" s="7"/>
      <c r="H21" s="7"/>
      <c r="I21" s="7"/>
      <c r="J21" s="6" t="str">
        <f aca="false">IF(AND(G21&lt;&gt;"",H21&lt;&gt;"",I21&lt;&gt;""),(G21*4)+(H21*4)+(I21*9),"")</f>
        <v/>
      </c>
      <c r="K21" s="6" t="s">
        <v>32</v>
      </c>
      <c r="L21" s="6"/>
    </row>
    <row r="22" customFormat="false" ht="15" hidden="false" customHeight="false" outlineLevel="0" collapsed="false">
      <c r="A22" s="6" t="s">
        <v>54</v>
      </c>
      <c r="B22" s="7"/>
      <c r="C22" s="6" t="s">
        <v>53</v>
      </c>
      <c r="D22" s="7"/>
      <c r="E22" s="7"/>
      <c r="F22" s="7"/>
      <c r="G22" s="7"/>
      <c r="H22" s="7"/>
      <c r="I22" s="7"/>
      <c r="J22" s="6" t="str">
        <f aca="false">IF(AND(G22&lt;&gt;"",H22&lt;&gt;"",I22&lt;&gt;""),(G22*4)+(H22*4)+(I22*9),"")</f>
        <v/>
      </c>
      <c r="K22" s="6" t="s">
        <v>32</v>
      </c>
      <c r="L22" s="6"/>
    </row>
    <row r="23" customFormat="false" ht="15" hidden="false" customHeight="false" outlineLevel="0" collapsed="false">
      <c r="A23" s="6" t="s">
        <v>55</v>
      </c>
      <c r="B23" s="7"/>
      <c r="C23" s="6" t="s">
        <v>56</v>
      </c>
      <c r="D23" s="7"/>
      <c r="E23" s="7"/>
      <c r="F23" s="7"/>
      <c r="G23" s="7"/>
      <c r="H23" s="7"/>
      <c r="I23" s="7"/>
      <c r="J23" s="6" t="str">
        <f aca="false">IF(AND(G23&lt;&gt;"",H23&lt;&gt;"",I23&lt;&gt;""),(G23*4)+(H23*4)+(I23*9),"")</f>
        <v/>
      </c>
      <c r="K23" s="6" t="s">
        <v>32</v>
      </c>
      <c r="L23" s="6"/>
    </row>
    <row r="24" customFormat="false" ht="15" hidden="false" customHeight="false" outlineLevel="0" collapsed="false">
      <c r="A24" s="6" t="s">
        <v>57</v>
      </c>
      <c r="B24" s="7"/>
      <c r="C24" s="6" t="s">
        <v>56</v>
      </c>
      <c r="D24" s="7"/>
      <c r="E24" s="7"/>
      <c r="F24" s="7"/>
      <c r="G24" s="7"/>
      <c r="H24" s="7"/>
      <c r="I24" s="7"/>
      <c r="J24" s="6" t="str">
        <f aca="false">IF(AND(G24&lt;&gt;"",H24&lt;&gt;"",I24&lt;&gt;""),(G24*4)+(H24*4)+(I24*9),"")</f>
        <v/>
      </c>
      <c r="K24" s="6" t="s">
        <v>32</v>
      </c>
      <c r="L24" s="6"/>
    </row>
    <row r="25" customFormat="false" ht="15" hidden="false" customHeight="false" outlineLevel="0" collapsed="false">
      <c r="A25" s="6" t="s">
        <v>58</v>
      </c>
      <c r="B25" s="7"/>
      <c r="C25" s="6" t="s">
        <v>56</v>
      </c>
      <c r="D25" s="7"/>
      <c r="E25" s="7"/>
      <c r="F25" s="7"/>
      <c r="G25" s="7"/>
      <c r="H25" s="7"/>
      <c r="I25" s="7"/>
      <c r="J25" s="6" t="str">
        <f aca="false">IF(AND(G25&lt;&gt;"",H25&lt;&gt;"",I25&lt;&gt;""),(G25*4)+(H25*4)+(I25*9),"")</f>
        <v/>
      </c>
      <c r="K25" s="6" t="s">
        <v>32</v>
      </c>
      <c r="L25" s="6"/>
    </row>
    <row r="26" customFormat="false" ht="15" hidden="false" customHeight="false" outlineLevel="0" collapsed="false">
      <c r="A26" s="6" t="s">
        <v>59</v>
      </c>
      <c r="B26" s="7"/>
      <c r="C26" s="6" t="s">
        <v>60</v>
      </c>
      <c r="D26" s="7"/>
      <c r="E26" s="7"/>
      <c r="F26" s="7"/>
      <c r="G26" s="7"/>
      <c r="H26" s="7"/>
      <c r="I26" s="7"/>
      <c r="J26" s="6" t="str">
        <f aca="false">IF(AND(G26&lt;&gt;"",H26&lt;&gt;"",I26&lt;&gt;""),(G26*4)+(H26*4)+(I26*9),"")</f>
        <v/>
      </c>
      <c r="K26" s="6" t="s">
        <v>32</v>
      </c>
      <c r="L26" s="6"/>
    </row>
    <row r="27" customFormat="false" ht="15" hidden="false" customHeight="false" outlineLevel="0" collapsed="false">
      <c r="A27" s="6" t="s">
        <v>61</v>
      </c>
      <c r="B27" s="7"/>
      <c r="C27" s="6" t="s">
        <v>60</v>
      </c>
      <c r="D27" s="7"/>
      <c r="E27" s="7"/>
      <c r="F27" s="7"/>
      <c r="G27" s="7"/>
      <c r="H27" s="7"/>
      <c r="I27" s="7"/>
      <c r="J27" s="6" t="str">
        <f aca="false">IF(AND(G27&lt;&gt;"",H27&lt;&gt;"",I27&lt;&gt;""),(G27*4)+(H27*4)+(I27*9),"")</f>
        <v/>
      </c>
      <c r="K27" s="6" t="s">
        <v>32</v>
      </c>
      <c r="L27" s="6"/>
    </row>
    <row r="28" customFormat="false" ht="15" hidden="false" customHeight="false" outlineLevel="0" collapsed="false">
      <c r="A28" s="6" t="s">
        <v>62</v>
      </c>
      <c r="B28" s="7"/>
      <c r="C28" s="6" t="s">
        <v>27</v>
      </c>
      <c r="D28" s="7"/>
      <c r="E28" s="7"/>
      <c r="F28" s="7"/>
      <c r="G28" s="7"/>
      <c r="H28" s="7"/>
      <c r="I28" s="7"/>
      <c r="J28" s="6" t="str">
        <f aca="false">IF(AND(G28&lt;&gt;"",H28&lt;&gt;"",I28&lt;&gt;""),(G28*4)+(H28*4)+(I28*9),"")</f>
        <v/>
      </c>
      <c r="K28" s="6" t="s">
        <v>32</v>
      </c>
      <c r="L28" s="6"/>
    </row>
    <row r="29" customFormat="false" ht="15" hidden="false" customHeight="false" outlineLevel="0" collapsed="false">
      <c r="A29" s="6" t="s">
        <v>63</v>
      </c>
      <c r="B29" s="7"/>
      <c r="C29" s="6" t="s">
        <v>27</v>
      </c>
      <c r="D29" s="7"/>
      <c r="E29" s="7"/>
      <c r="F29" s="7"/>
      <c r="G29" s="7"/>
      <c r="H29" s="7"/>
      <c r="I29" s="7"/>
      <c r="J29" s="6" t="str">
        <f aca="false">IF(AND(G29&lt;&gt;"",H29&lt;&gt;"",I29&lt;&gt;""),(G29*4)+(H29*4)+(I29*9),"")</f>
        <v/>
      </c>
      <c r="K29" s="6" t="s">
        <v>32</v>
      </c>
      <c r="L29" s="6"/>
    </row>
    <row r="30" customFormat="false" ht="15" hidden="false" customHeight="false" outlineLevel="0" collapsed="false">
      <c r="A30" s="6" t="s">
        <v>64</v>
      </c>
      <c r="B30" s="7"/>
      <c r="C30" s="6" t="s">
        <v>27</v>
      </c>
      <c r="D30" s="7"/>
      <c r="E30" s="7"/>
      <c r="F30" s="7"/>
      <c r="G30" s="7"/>
      <c r="H30" s="7"/>
      <c r="I30" s="7"/>
      <c r="J30" s="6" t="str">
        <f aca="false">IF(AND(G30&lt;&gt;"",H30&lt;&gt;"",I30&lt;&gt;""),(G30*4)+(H30*4)+(I30*9),"")</f>
        <v/>
      </c>
      <c r="K30" s="6" t="s">
        <v>32</v>
      </c>
      <c r="L30" s="6"/>
    </row>
    <row r="31" customFormat="false" ht="15" hidden="false" customHeight="false" outlineLevel="0" collapsed="false">
      <c r="A31" s="6" t="s">
        <v>65</v>
      </c>
      <c r="B31" s="7"/>
      <c r="C31" s="6" t="s">
        <v>27</v>
      </c>
      <c r="D31" s="7"/>
      <c r="E31" s="7"/>
      <c r="F31" s="7"/>
      <c r="G31" s="7"/>
      <c r="H31" s="7"/>
      <c r="I31" s="7"/>
      <c r="J31" s="6" t="str">
        <f aca="false">IF(AND(G31&lt;&gt;"",H31&lt;&gt;"",I31&lt;&gt;""),(G31*4)+(H31*4)+(I31*9),"")</f>
        <v/>
      </c>
      <c r="K31" s="6" t="s">
        <v>32</v>
      </c>
      <c r="L31" s="6"/>
    </row>
    <row r="32" customFormat="false" ht="15" hidden="false" customHeight="false" outlineLevel="0" collapsed="false">
      <c r="A32" s="6" t="s">
        <v>66</v>
      </c>
      <c r="B32" s="7"/>
      <c r="C32" s="6" t="s">
        <v>27</v>
      </c>
      <c r="D32" s="7"/>
      <c r="E32" s="7"/>
      <c r="F32" s="7"/>
      <c r="G32" s="7"/>
      <c r="H32" s="7"/>
      <c r="I32" s="7"/>
      <c r="J32" s="6" t="str">
        <f aca="false">IF(AND(G32&lt;&gt;"",H32&lt;&gt;"",I32&lt;&gt;""),(G32*4)+(H32*4)+(I32*9),"")</f>
        <v/>
      </c>
      <c r="K32" s="6" t="s">
        <v>32</v>
      </c>
      <c r="L32" s="6"/>
    </row>
    <row r="33" customFormat="false" ht="15" hidden="false" customHeight="false" outlineLevel="0" collapsed="false">
      <c r="A33" s="6" t="s">
        <v>67</v>
      </c>
      <c r="B33" s="7"/>
      <c r="C33" s="6" t="s">
        <v>27</v>
      </c>
      <c r="D33" s="7"/>
      <c r="E33" s="7"/>
      <c r="F33" s="7"/>
      <c r="G33" s="7"/>
      <c r="H33" s="7"/>
      <c r="I33" s="7"/>
      <c r="J33" s="6" t="str">
        <f aca="false">IF(AND(G33&lt;&gt;"",H33&lt;&gt;"",I33&lt;&gt;""),(G33*4)+(H33*4)+(I33*9),"")</f>
        <v/>
      </c>
      <c r="K33" s="6" t="s">
        <v>32</v>
      </c>
      <c r="L33" s="6"/>
    </row>
    <row r="34" customFormat="false" ht="15" hidden="false" customHeight="false" outlineLevel="0" collapsed="false">
      <c r="A34" s="6" t="s">
        <v>68</v>
      </c>
      <c r="B34" s="7"/>
      <c r="C34" s="6" t="s">
        <v>27</v>
      </c>
      <c r="D34" s="7"/>
      <c r="E34" s="7"/>
      <c r="F34" s="7"/>
      <c r="G34" s="7"/>
      <c r="H34" s="7"/>
      <c r="I34" s="7"/>
      <c r="J34" s="6" t="str">
        <f aca="false">IF(AND(G34&lt;&gt;"",H34&lt;&gt;"",I34&lt;&gt;""),(G34*4)+(H34*4)+(I34*9),"")</f>
        <v/>
      </c>
      <c r="K34" s="6" t="s">
        <v>32</v>
      </c>
      <c r="L34" s="6"/>
    </row>
    <row r="35" customFormat="false" ht="15" hidden="false" customHeight="false" outlineLevel="0" collapsed="false">
      <c r="A35" s="6" t="s">
        <v>69</v>
      </c>
      <c r="B35" s="7"/>
      <c r="C35" s="6" t="s">
        <v>27</v>
      </c>
      <c r="D35" s="7"/>
      <c r="E35" s="7"/>
      <c r="F35" s="7"/>
      <c r="G35" s="7"/>
      <c r="H35" s="7"/>
      <c r="I35" s="7"/>
      <c r="J35" s="6" t="str">
        <f aca="false">IF(AND(G35&lt;&gt;"",H35&lt;&gt;"",I35&lt;&gt;""),(G35*4)+(H35*4)+(I35*9),"")</f>
        <v/>
      </c>
      <c r="K35" s="6" t="s">
        <v>32</v>
      </c>
      <c r="L35" s="6"/>
    </row>
    <row r="36" customFormat="false" ht="15" hidden="false" customHeight="false" outlineLevel="0" collapsed="false">
      <c r="A36" s="6" t="s">
        <v>70</v>
      </c>
      <c r="B36" s="7"/>
      <c r="C36" s="6" t="s">
        <v>49</v>
      </c>
      <c r="D36" s="7"/>
      <c r="E36" s="7"/>
      <c r="F36" s="7"/>
      <c r="G36" s="7"/>
      <c r="H36" s="7"/>
      <c r="I36" s="7"/>
      <c r="J36" s="6" t="str">
        <f aca="false">IF(AND(G36&lt;&gt;"",H36&lt;&gt;"",I36&lt;&gt;""),(G36*4)+(H36*4)+(I36*9),"")</f>
        <v/>
      </c>
      <c r="K36" s="6" t="s">
        <v>32</v>
      </c>
      <c r="L36" s="6"/>
    </row>
    <row r="37" customFormat="false" ht="15" hidden="false" customHeight="false" outlineLevel="0" collapsed="false">
      <c r="A37" s="6" t="s">
        <v>71</v>
      </c>
      <c r="B37" s="7"/>
      <c r="C37" s="6" t="s">
        <v>49</v>
      </c>
      <c r="D37" s="7"/>
      <c r="E37" s="7"/>
      <c r="F37" s="7"/>
      <c r="G37" s="7"/>
      <c r="H37" s="7"/>
      <c r="I37" s="7"/>
      <c r="J37" s="6" t="str">
        <f aca="false">IF(AND(G37&lt;&gt;"",H37&lt;&gt;"",I37&lt;&gt;""),(G37*4)+(H37*4)+(I37*9),"")</f>
        <v/>
      </c>
      <c r="K37" s="6" t="s">
        <v>32</v>
      </c>
      <c r="L37" s="6"/>
    </row>
    <row r="38" customFormat="false" ht="15" hidden="false" customHeight="false" outlineLevel="0" collapsed="false">
      <c r="A38" s="6" t="s">
        <v>72</v>
      </c>
      <c r="B38" s="7"/>
      <c r="C38" s="6" t="s">
        <v>27</v>
      </c>
      <c r="D38" s="7"/>
      <c r="E38" s="7"/>
      <c r="F38" s="7"/>
      <c r="G38" s="7"/>
      <c r="H38" s="7"/>
      <c r="I38" s="7"/>
      <c r="J38" s="6" t="str">
        <f aca="false">IF(AND(G38&lt;&gt;"",H38&lt;&gt;"",I38&lt;&gt;""),(G38*4)+(H38*4)+(I38*9),"")</f>
        <v/>
      </c>
      <c r="K38" s="6" t="s">
        <v>32</v>
      </c>
      <c r="L38" s="6"/>
    </row>
    <row r="39" customFormat="false" ht="15" hidden="false" customHeight="false" outlineLevel="0" collapsed="false">
      <c r="A39" s="6" t="s">
        <v>73</v>
      </c>
      <c r="B39" s="7"/>
      <c r="C39" s="6" t="s">
        <v>35</v>
      </c>
      <c r="D39" s="7"/>
      <c r="E39" s="7"/>
      <c r="F39" s="7"/>
      <c r="G39" s="7"/>
      <c r="H39" s="7"/>
      <c r="I39" s="7"/>
      <c r="J39" s="6" t="str">
        <f aca="false">IF(AND(G39&lt;&gt;"",H39&lt;&gt;"",I39&lt;&gt;""),(G39*4)+(H39*4)+(I39*9),"")</f>
        <v/>
      </c>
      <c r="K39" s="6" t="s">
        <v>32</v>
      </c>
      <c r="L39" s="6"/>
    </row>
    <row r="40" customFormat="false" ht="15" hidden="false" customHeight="false" outlineLevel="0" collapsed="false">
      <c r="A40" s="6" t="s">
        <v>74</v>
      </c>
      <c r="B40" s="7"/>
      <c r="C40" s="6" t="s">
        <v>53</v>
      </c>
      <c r="D40" s="7"/>
      <c r="E40" s="7"/>
      <c r="F40" s="7"/>
      <c r="G40" s="7"/>
      <c r="H40" s="7"/>
      <c r="I40" s="7"/>
      <c r="J40" s="6" t="str">
        <f aca="false">IF(AND(G40&lt;&gt;"",H40&lt;&gt;"",I40&lt;&gt;""),(G40*4)+(H40*4)+(I40*9),"")</f>
        <v/>
      </c>
      <c r="K40" s="6" t="s">
        <v>32</v>
      </c>
      <c r="L40" s="6"/>
    </row>
    <row r="41" customFormat="false" ht="15" hidden="false" customHeight="false" outlineLevel="0" collapsed="false">
      <c r="A41" s="6" t="s">
        <v>75</v>
      </c>
      <c r="B41" s="7"/>
      <c r="C41" s="6" t="s">
        <v>35</v>
      </c>
      <c r="D41" s="7"/>
      <c r="E41" s="7"/>
      <c r="F41" s="7"/>
      <c r="G41" s="7"/>
      <c r="H41" s="7"/>
      <c r="I41" s="7"/>
      <c r="J41" s="6" t="str">
        <f aca="false">IF(AND(G41&lt;&gt;"",H41&lt;&gt;"",I41&lt;&gt;""),(G41*4)+(H41*4)+(I41*9),"")</f>
        <v/>
      </c>
      <c r="K41" s="6" t="s">
        <v>32</v>
      </c>
      <c r="L41" s="6"/>
    </row>
    <row r="42" customFormat="false" ht="15" hidden="false" customHeight="false" outlineLevel="0" collapsed="false">
      <c r="A42" s="6" t="s">
        <v>76</v>
      </c>
      <c r="B42" s="7"/>
      <c r="C42" s="6" t="s">
        <v>35</v>
      </c>
      <c r="D42" s="7"/>
      <c r="E42" s="7"/>
      <c r="F42" s="7"/>
      <c r="G42" s="7"/>
      <c r="H42" s="7"/>
      <c r="I42" s="7"/>
      <c r="J42" s="6" t="str">
        <f aca="false">IF(AND(G42&lt;&gt;"",H42&lt;&gt;"",I42&lt;&gt;""),(G42*4)+(H42*4)+(I42*9),"")</f>
        <v/>
      </c>
      <c r="K42" s="6" t="s">
        <v>32</v>
      </c>
      <c r="L42" s="6"/>
    </row>
    <row r="43" customFormat="false" ht="15" hidden="false" customHeight="false" outlineLevel="0" collapsed="false">
      <c r="A43" s="6" t="s">
        <v>77</v>
      </c>
      <c r="B43" s="7"/>
      <c r="C43" s="6" t="s">
        <v>78</v>
      </c>
      <c r="D43" s="7"/>
      <c r="E43" s="7"/>
      <c r="F43" s="7"/>
      <c r="G43" s="7"/>
      <c r="H43" s="7"/>
      <c r="I43" s="7"/>
      <c r="J43" s="6" t="str">
        <f aca="false">IF(AND(G43&lt;&gt;"",H43&lt;&gt;"",I43&lt;&gt;""),(G43*4)+(H43*4)+(I43*9),"")</f>
        <v/>
      </c>
      <c r="K43" s="6" t="s">
        <v>32</v>
      </c>
      <c r="L43" s="6"/>
    </row>
    <row r="44" customFormat="false" ht="15" hidden="false" customHeight="false" outlineLevel="0" collapsed="false">
      <c r="A44" s="6" t="s">
        <v>79</v>
      </c>
      <c r="B44" s="7"/>
      <c r="C44" s="6" t="s">
        <v>78</v>
      </c>
      <c r="D44" s="7"/>
      <c r="E44" s="7"/>
      <c r="F44" s="7"/>
      <c r="G44" s="7"/>
      <c r="H44" s="7"/>
      <c r="I44" s="7"/>
      <c r="J44" s="6" t="str">
        <f aca="false">IF(AND(G44&lt;&gt;"",H44&lt;&gt;"",I44&lt;&gt;""),(G44*4)+(H44*4)+(I44*9),"")</f>
        <v/>
      </c>
      <c r="K44" s="6" t="s">
        <v>32</v>
      </c>
      <c r="L44" s="6"/>
    </row>
    <row r="45" customFormat="false" ht="15" hidden="false" customHeight="false" outlineLevel="0" collapsed="false">
      <c r="A45" s="6" t="s">
        <v>80</v>
      </c>
      <c r="B45" s="7"/>
      <c r="C45" s="6" t="s">
        <v>53</v>
      </c>
      <c r="D45" s="7"/>
      <c r="E45" s="7"/>
      <c r="F45" s="7"/>
      <c r="G45" s="7"/>
      <c r="H45" s="7"/>
      <c r="I45" s="7"/>
      <c r="J45" s="6" t="str">
        <f aca="false">IF(AND(G45&lt;&gt;"",H45&lt;&gt;"",I45&lt;&gt;""),(G45*4)+(H45*4)+(I45*9),"")</f>
        <v/>
      </c>
      <c r="K45" s="6" t="s">
        <v>32</v>
      </c>
      <c r="L45" s="6"/>
    </row>
    <row r="46" customFormat="false" ht="15" hidden="false" customHeight="false" outlineLevel="0" collapsed="false">
      <c r="A46" s="6" t="s">
        <v>81</v>
      </c>
      <c r="B46" s="7"/>
      <c r="C46" s="6" t="s">
        <v>53</v>
      </c>
      <c r="D46" s="7"/>
      <c r="E46" s="7"/>
      <c r="F46" s="7"/>
      <c r="G46" s="7"/>
      <c r="H46" s="7"/>
      <c r="I46" s="7"/>
      <c r="J46" s="6" t="str">
        <f aca="false">IF(AND(G46&lt;&gt;"",H46&lt;&gt;"",I46&lt;&gt;""),(G46*4)+(H46*4)+(I46*9),"")</f>
        <v/>
      </c>
      <c r="K46" s="6" t="s">
        <v>32</v>
      </c>
      <c r="L46" s="6"/>
    </row>
    <row r="47" customFormat="false" ht="15" hidden="false" customHeight="false" outlineLevel="0" collapsed="false">
      <c r="A47" s="6" t="s">
        <v>82</v>
      </c>
      <c r="B47" s="7"/>
      <c r="C47" s="6" t="s">
        <v>83</v>
      </c>
      <c r="D47" s="7"/>
      <c r="E47" s="7"/>
      <c r="F47" s="7"/>
      <c r="G47" s="7"/>
      <c r="H47" s="7"/>
      <c r="I47" s="7"/>
      <c r="J47" s="6" t="str">
        <f aca="false">IF(AND(G47&lt;&gt;"",H47&lt;&gt;"",I47&lt;&gt;""),(G47*4)+(H47*4)+(I47*9),"")</f>
        <v/>
      </c>
      <c r="K47" s="6" t="s">
        <v>32</v>
      </c>
      <c r="L47" s="6"/>
    </row>
    <row r="48" customFormat="false" ht="15" hidden="false" customHeight="false" outlineLevel="0" collapsed="false">
      <c r="A48" s="6" t="s">
        <v>84</v>
      </c>
      <c r="B48" s="7"/>
      <c r="C48" s="6" t="s">
        <v>83</v>
      </c>
      <c r="D48" s="7"/>
      <c r="E48" s="7"/>
      <c r="F48" s="7"/>
      <c r="G48" s="7"/>
      <c r="H48" s="7"/>
      <c r="I48" s="7"/>
      <c r="J48" s="6" t="str">
        <f aca="false">IF(AND(G48&lt;&gt;"",H48&lt;&gt;"",I48&lt;&gt;""),(G48*4)+(H48*4)+(I48*9),"")</f>
        <v/>
      </c>
      <c r="K48" s="6" t="s">
        <v>32</v>
      </c>
      <c r="L48" s="6"/>
    </row>
    <row r="49" customFormat="false" ht="15" hidden="false" customHeight="false" outlineLevel="0" collapsed="false">
      <c r="A49" s="6" t="s">
        <v>85</v>
      </c>
      <c r="B49" s="7"/>
      <c r="C49" s="6" t="s">
        <v>53</v>
      </c>
      <c r="D49" s="7"/>
      <c r="E49" s="7"/>
      <c r="F49" s="7"/>
      <c r="G49" s="7"/>
      <c r="H49" s="7"/>
      <c r="I49" s="7"/>
      <c r="J49" s="6" t="str">
        <f aca="false">IF(AND(G49&lt;&gt;"",H49&lt;&gt;"",I49&lt;&gt;""),(G49*4)+(H49*4)+(I49*9),"")</f>
        <v/>
      </c>
      <c r="K49" s="6" t="s">
        <v>32</v>
      </c>
      <c r="L49" s="6"/>
    </row>
    <row r="50" customFormat="false" ht="15" hidden="false" customHeight="false" outlineLevel="0" collapsed="false">
      <c r="A50" s="6" t="s">
        <v>86</v>
      </c>
      <c r="B50" s="7"/>
      <c r="C50" s="6" t="s">
        <v>53</v>
      </c>
      <c r="D50" s="7"/>
      <c r="E50" s="7"/>
      <c r="F50" s="7"/>
      <c r="G50" s="7"/>
      <c r="H50" s="7"/>
      <c r="I50" s="7"/>
      <c r="J50" s="6" t="str">
        <f aca="false">IF(AND(G50&lt;&gt;"",H50&lt;&gt;"",I50&lt;&gt;""),(G50*4)+(H50*4)+(I50*9),"")</f>
        <v/>
      </c>
      <c r="K50" s="6" t="s">
        <v>32</v>
      </c>
      <c r="L50" s="6"/>
    </row>
    <row r="51" customFormat="false" ht="15" hidden="false" customHeight="false" outlineLevel="0" collapsed="false">
      <c r="A51" s="6" t="s">
        <v>87</v>
      </c>
      <c r="B51" s="7"/>
      <c r="C51" s="6" t="s">
        <v>53</v>
      </c>
      <c r="D51" s="7"/>
      <c r="E51" s="7"/>
      <c r="F51" s="7"/>
      <c r="G51" s="7"/>
      <c r="H51" s="7"/>
      <c r="I51" s="7"/>
      <c r="J51" s="6" t="str">
        <f aca="false">IF(AND(G51&lt;&gt;"",H51&lt;&gt;"",I51&lt;&gt;""),(G51*4)+(H51*4)+(I51*9),"")</f>
        <v/>
      </c>
      <c r="K51" s="6" t="s">
        <v>32</v>
      </c>
      <c r="L51" s="6"/>
    </row>
    <row r="52" customFormat="false" ht="15" hidden="false" customHeight="false" outlineLevel="0" collapsed="false">
      <c r="A52" s="6" t="s">
        <v>88</v>
      </c>
      <c r="B52" s="7"/>
      <c r="C52" s="6" t="s">
        <v>89</v>
      </c>
      <c r="D52" s="7"/>
      <c r="E52" s="7"/>
      <c r="F52" s="7"/>
      <c r="G52" s="7"/>
      <c r="H52" s="7"/>
      <c r="I52" s="7"/>
      <c r="J52" s="6" t="str">
        <f aca="false">IF(AND(G52&lt;&gt;"",H52&lt;&gt;"",I52&lt;&gt;""),(G52*4)+(H52*4)+(I52*9),"")</f>
        <v/>
      </c>
      <c r="K52" s="6" t="s">
        <v>32</v>
      </c>
      <c r="L52" s="6"/>
    </row>
    <row r="53" customFormat="false" ht="15" hidden="false" customHeight="false" outlineLevel="0" collapsed="false">
      <c r="A53" s="6" t="s">
        <v>90</v>
      </c>
      <c r="B53" s="7"/>
      <c r="C53" s="6" t="s">
        <v>89</v>
      </c>
      <c r="D53" s="7"/>
      <c r="E53" s="7"/>
      <c r="F53" s="7"/>
      <c r="G53" s="7"/>
      <c r="H53" s="7"/>
      <c r="I53" s="7"/>
      <c r="J53" s="6" t="str">
        <f aca="false">IF(AND(G53&lt;&gt;"",H53&lt;&gt;"",I53&lt;&gt;""),(G53*4)+(H53*4)+(I53*9),"")</f>
        <v/>
      </c>
      <c r="K53" s="6" t="s">
        <v>32</v>
      </c>
      <c r="L53" s="6"/>
    </row>
    <row r="54" customFormat="false" ht="15" hidden="false" customHeight="false" outlineLevel="0" collapsed="false">
      <c r="A54" s="6" t="s">
        <v>91</v>
      </c>
      <c r="B54" s="7"/>
      <c r="C54" s="6" t="s">
        <v>92</v>
      </c>
      <c r="D54" s="7"/>
      <c r="E54" s="7"/>
      <c r="F54" s="7"/>
      <c r="G54" s="7"/>
      <c r="H54" s="7"/>
      <c r="I54" s="7"/>
      <c r="J54" s="6" t="str">
        <f aca="false">IF(AND(G54&lt;&gt;"",H54&lt;&gt;"",I54&lt;&gt;""),(G54*4)+(H54*4)+(I54*9),"")</f>
        <v/>
      </c>
      <c r="K54" s="6" t="s">
        <v>32</v>
      </c>
      <c r="L54" s="6"/>
    </row>
    <row r="55" customFormat="false" ht="15" hidden="false" customHeight="false" outlineLevel="0" collapsed="false">
      <c r="A55" s="6" t="s">
        <v>93</v>
      </c>
      <c r="B55" s="7"/>
      <c r="C55" s="6" t="s">
        <v>92</v>
      </c>
      <c r="D55" s="7"/>
      <c r="E55" s="7"/>
      <c r="F55" s="7"/>
      <c r="G55" s="7"/>
      <c r="H55" s="7"/>
      <c r="I55" s="7"/>
      <c r="J55" s="6" t="str">
        <f aca="false">IF(AND(G55&lt;&gt;"",H55&lt;&gt;"",I55&lt;&gt;""),(G55*4)+(H55*4)+(I55*9),"")</f>
        <v/>
      </c>
      <c r="K55" s="6" t="s">
        <v>32</v>
      </c>
      <c r="L55" s="6"/>
    </row>
    <row r="56" customFormat="false" ht="15" hidden="false" customHeight="false" outlineLevel="0" collapsed="false">
      <c r="A56" s="6" t="s">
        <v>94</v>
      </c>
      <c r="B56" s="7"/>
      <c r="C56" s="6" t="s">
        <v>92</v>
      </c>
      <c r="D56" s="7"/>
      <c r="E56" s="7"/>
      <c r="F56" s="7"/>
      <c r="G56" s="7"/>
      <c r="H56" s="7"/>
      <c r="I56" s="7"/>
      <c r="J56" s="6" t="str">
        <f aca="false">IF(AND(G56&lt;&gt;"",H56&lt;&gt;"",I56&lt;&gt;""),(G56*4)+(H56*4)+(I56*9),"")</f>
        <v/>
      </c>
      <c r="K56" s="6" t="s">
        <v>32</v>
      </c>
      <c r="L56" s="6"/>
    </row>
    <row r="57" customFormat="false" ht="15" hidden="false" customHeight="false" outlineLevel="0" collapsed="false">
      <c r="A57" s="6" t="s">
        <v>95</v>
      </c>
      <c r="B57" s="7"/>
      <c r="C57" s="6" t="s">
        <v>92</v>
      </c>
      <c r="D57" s="7"/>
      <c r="E57" s="7"/>
      <c r="F57" s="7"/>
      <c r="G57" s="7"/>
      <c r="H57" s="7"/>
      <c r="I57" s="7"/>
      <c r="J57" s="6" t="str">
        <f aca="false">IF(AND(G57&lt;&gt;"",H57&lt;&gt;"",I57&lt;&gt;""),(G57*4)+(H57*4)+(I57*9),"")</f>
        <v/>
      </c>
      <c r="K57" s="6" t="s">
        <v>32</v>
      </c>
      <c r="L57" s="6"/>
    </row>
    <row r="58" customFormat="false" ht="15" hidden="false" customHeight="false" outlineLevel="0" collapsed="false">
      <c r="A58" s="6" t="s">
        <v>96</v>
      </c>
      <c r="B58" s="7"/>
      <c r="C58" s="6" t="s">
        <v>92</v>
      </c>
      <c r="D58" s="7"/>
      <c r="E58" s="7"/>
      <c r="F58" s="7"/>
      <c r="G58" s="7"/>
      <c r="H58" s="7"/>
      <c r="I58" s="7"/>
      <c r="J58" s="6" t="str">
        <f aca="false">IF(AND(G58&lt;&gt;"",H58&lt;&gt;"",I58&lt;&gt;""),(G58*4)+(H58*4)+(I58*9),"")</f>
        <v/>
      </c>
      <c r="K58" s="6" t="s">
        <v>32</v>
      </c>
      <c r="L58" s="6"/>
    </row>
    <row r="59" customFormat="false" ht="15" hidden="false" customHeight="false" outlineLevel="0" collapsed="false">
      <c r="A59" s="6" t="s">
        <v>97</v>
      </c>
      <c r="B59" s="7"/>
      <c r="C59" s="6" t="s">
        <v>92</v>
      </c>
      <c r="D59" s="7"/>
      <c r="E59" s="7"/>
      <c r="F59" s="7"/>
      <c r="G59" s="7"/>
      <c r="H59" s="7"/>
      <c r="I59" s="7"/>
      <c r="J59" s="6" t="str">
        <f aca="false">IF(AND(G59&lt;&gt;"",H59&lt;&gt;"",I59&lt;&gt;""),(G59*4)+(H59*4)+(I59*9),"")</f>
        <v/>
      </c>
      <c r="K59" s="6" t="s">
        <v>32</v>
      </c>
      <c r="L59" s="6"/>
    </row>
    <row r="60" customFormat="false" ht="15" hidden="false" customHeight="false" outlineLevel="0" collapsed="false">
      <c r="A60" s="6" t="s">
        <v>98</v>
      </c>
      <c r="B60" s="7"/>
      <c r="C60" s="6" t="s">
        <v>92</v>
      </c>
      <c r="D60" s="7"/>
      <c r="E60" s="7"/>
      <c r="F60" s="7"/>
      <c r="G60" s="7"/>
      <c r="H60" s="7"/>
      <c r="I60" s="7"/>
      <c r="J60" s="6" t="str">
        <f aca="false">IF(AND(G60&lt;&gt;"",H60&lt;&gt;"",I60&lt;&gt;""),(G60*4)+(H60*4)+(I60*9),"")</f>
        <v/>
      </c>
      <c r="K60" s="6" t="s">
        <v>32</v>
      </c>
      <c r="L60" s="6"/>
    </row>
    <row r="61" customFormat="false" ht="15" hidden="false" customHeight="false" outlineLevel="0" collapsed="false">
      <c r="A61" s="6" t="s">
        <v>99</v>
      </c>
      <c r="B61" s="7"/>
      <c r="C61" s="6" t="s">
        <v>53</v>
      </c>
      <c r="D61" s="7"/>
      <c r="E61" s="7"/>
      <c r="F61" s="7"/>
      <c r="G61" s="7"/>
      <c r="H61" s="7"/>
      <c r="I61" s="7"/>
      <c r="J61" s="6" t="str">
        <f aca="false">IF(AND(G61&lt;&gt;"",H61&lt;&gt;"",I61&lt;&gt;""),(G61*4)+(H61*4)+(I61*9),"")</f>
        <v/>
      </c>
      <c r="K61" s="6" t="s">
        <v>32</v>
      </c>
      <c r="L61" s="6"/>
    </row>
    <row r="62" customFormat="false" ht="15" hidden="false" customHeight="false" outlineLevel="0" collapsed="false">
      <c r="A62" s="6" t="s">
        <v>100</v>
      </c>
      <c r="B62" s="7"/>
      <c r="C62" s="6" t="s">
        <v>27</v>
      </c>
      <c r="D62" s="7"/>
      <c r="E62" s="7"/>
      <c r="F62" s="7"/>
      <c r="G62" s="7"/>
      <c r="H62" s="7"/>
      <c r="I62" s="7"/>
      <c r="J62" s="6" t="str">
        <f aca="false">IF(AND(G62&lt;&gt;"",H62&lt;&gt;"",I62&lt;&gt;""),(G62*4)+(H62*4)+(I62*9),"")</f>
        <v/>
      </c>
      <c r="K62" s="6" t="s">
        <v>32</v>
      </c>
      <c r="L62" s="6"/>
    </row>
    <row r="63" customFormat="false" ht="15" hidden="false" customHeight="false" outlineLevel="0" collapsed="false">
      <c r="A63" s="6" t="s">
        <v>101</v>
      </c>
      <c r="B63" s="7"/>
      <c r="C63" s="6" t="s">
        <v>27</v>
      </c>
      <c r="D63" s="7"/>
      <c r="E63" s="7"/>
      <c r="F63" s="7"/>
      <c r="G63" s="7"/>
      <c r="H63" s="7"/>
      <c r="I63" s="7"/>
      <c r="J63" s="6" t="str">
        <f aca="false">IF(AND(G63&lt;&gt;"",H63&lt;&gt;"",I63&lt;&gt;""),(G63*4)+(H63*4)+(I63*9),"")</f>
        <v/>
      </c>
      <c r="K63" s="6" t="s">
        <v>32</v>
      </c>
      <c r="L63" s="6"/>
    </row>
    <row r="64" customFormat="false" ht="15" hidden="false" customHeight="false" outlineLevel="0" collapsed="false">
      <c r="A64" s="6" t="s">
        <v>102</v>
      </c>
      <c r="B64" s="7"/>
      <c r="C64" s="6" t="s">
        <v>35</v>
      </c>
      <c r="D64" s="7"/>
      <c r="E64" s="7"/>
      <c r="F64" s="7"/>
      <c r="G64" s="7"/>
      <c r="H64" s="7"/>
      <c r="I64" s="7"/>
      <c r="J64" s="6" t="str">
        <f aca="false">IF(AND(G64&lt;&gt;"",H64&lt;&gt;"",I64&lt;&gt;""),(G64*4)+(H64*4)+(I64*9),"")</f>
        <v/>
      </c>
      <c r="K64" s="6" t="s">
        <v>32</v>
      </c>
      <c r="L64" s="6"/>
    </row>
    <row r="65" customFormat="false" ht="15" hidden="false" customHeight="false" outlineLevel="0" collapsed="false">
      <c r="A65" s="6" t="s">
        <v>103</v>
      </c>
      <c r="B65" s="7"/>
      <c r="C65" s="6" t="s">
        <v>27</v>
      </c>
      <c r="D65" s="7"/>
      <c r="E65" s="7"/>
      <c r="F65" s="7"/>
      <c r="G65" s="7"/>
      <c r="H65" s="7"/>
      <c r="I65" s="7"/>
      <c r="J65" s="6" t="str">
        <f aca="false">IF(AND(G65&lt;&gt;"",H65&lt;&gt;"",I65&lt;&gt;""),(G65*4)+(H65*4)+(I65*9),"")</f>
        <v/>
      </c>
      <c r="K65" s="6" t="s">
        <v>32</v>
      </c>
      <c r="L65" s="6"/>
    </row>
    <row r="66" customFormat="false" ht="15" hidden="false" customHeight="false" outlineLevel="0" collapsed="false">
      <c r="A66" s="6" t="s">
        <v>104</v>
      </c>
      <c r="B66" s="7"/>
      <c r="C66" s="6" t="s">
        <v>27</v>
      </c>
      <c r="D66" s="7"/>
      <c r="E66" s="7"/>
      <c r="F66" s="7"/>
      <c r="G66" s="7"/>
      <c r="H66" s="7"/>
      <c r="I66" s="7"/>
      <c r="J66" s="6" t="str">
        <f aca="false">IF(AND(G66&lt;&gt;"",H66&lt;&gt;"",I66&lt;&gt;""),(G66*4)+(H66*4)+(I66*9),"")</f>
        <v/>
      </c>
      <c r="K66" s="6" t="s">
        <v>32</v>
      </c>
      <c r="L66" s="6"/>
    </row>
    <row r="67" customFormat="false" ht="15" hidden="false" customHeight="false" outlineLevel="0" collapsed="false">
      <c r="A67" s="6" t="s">
        <v>105</v>
      </c>
      <c r="B67" s="7"/>
      <c r="C67" s="6" t="s">
        <v>27</v>
      </c>
      <c r="D67" s="7"/>
      <c r="E67" s="7"/>
      <c r="F67" s="7"/>
      <c r="G67" s="7"/>
      <c r="H67" s="7"/>
      <c r="I67" s="7"/>
      <c r="J67" s="6" t="str">
        <f aca="false">IF(AND(G67&lt;&gt;"",H67&lt;&gt;"",I67&lt;&gt;""),(G67*4)+(H67*4)+(I67*9),"")</f>
        <v/>
      </c>
      <c r="K67" s="6" t="s">
        <v>32</v>
      </c>
      <c r="L67" s="6"/>
    </row>
    <row r="68" customFormat="false" ht="15" hidden="false" customHeight="false" outlineLevel="0" collapsed="false">
      <c r="A68" s="6" t="s">
        <v>106</v>
      </c>
      <c r="B68" s="7"/>
      <c r="C68" s="6" t="s">
        <v>27</v>
      </c>
      <c r="D68" s="7"/>
      <c r="E68" s="7"/>
      <c r="F68" s="7"/>
      <c r="G68" s="7"/>
      <c r="H68" s="7"/>
      <c r="I68" s="7"/>
      <c r="J68" s="6" t="str">
        <f aca="false">IF(AND(G68&lt;&gt;"",H68&lt;&gt;"",I68&lt;&gt;""),(G68*4)+(H68*4)+(I68*9),"")</f>
        <v/>
      </c>
      <c r="K68" s="6" t="s">
        <v>32</v>
      </c>
      <c r="L68" s="6"/>
    </row>
    <row r="69" customFormat="false" ht="15" hidden="false" customHeight="false" outlineLevel="0" collapsed="false">
      <c r="A69" s="6" t="s">
        <v>107</v>
      </c>
      <c r="B69" s="7"/>
      <c r="C69" s="6" t="s">
        <v>27</v>
      </c>
      <c r="D69" s="7"/>
      <c r="E69" s="7"/>
      <c r="F69" s="7"/>
      <c r="G69" s="7"/>
      <c r="H69" s="7"/>
      <c r="I69" s="7"/>
      <c r="J69" s="6" t="str">
        <f aca="false">IF(AND(G69&lt;&gt;"",H69&lt;&gt;"",I69&lt;&gt;""),(G69*4)+(H69*4)+(I69*9),"")</f>
        <v/>
      </c>
      <c r="K69" s="6" t="s">
        <v>32</v>
      </c>
      <c r="L69" s="6"/>
    </row>
    <row r="70" customFormat="false" ht="15" hidden="false" customHeight="false" outlineLevel="0" collapsed="false">
      <c r="A70" s="6" t="s">
        <v>108</v>
      </c>
      <c r="B70" s="7"/>
      <c r="C70" s="6" t="s">
        <v>35</v>
      </c>
      <c r="D70" s="7"/>
      <c r="E70" s="7"/>
      <c r="F70" s="7"/>
      <c r="G70" s="7"/>
      <c r="H70" s="7"/>
      <c r="I70" s="7"/>
      <c r="J70" s="6" t="str">
        <f aca="false">IF(AND(G70&lt;&gt;"",H70&lt;&gt;"",I70&lt;&gt;""),(G70*4)+(H70*4)+(I70*9),"")</f>
        <v/>
      </c>
      <c r="K70" s="6" t="s">
        <v>32</v>
      </c>
      <c r="L70" s="6"/>
    </row>
    <row r="71" customFormat="false" ht="15" hidden="false" customHeight="false" outlineLevel="0" collapsed="false">
      <c r="A71" s="6" t="s">
        <v>109</v>
      </c>
      <c r="B71" s="7"/>
      <c r="C71" s="6" t="s">
        <v>35</v>
      </c>
      <c r="D71" s="7"/>
      <c r="E71" s="7"/>
      <c r="F71" s="7"/>
      <c r="G71" s="7"/>
      <c r="H71" s="7"/>
      <c r="I71" s="7"/>
      <c r="J71" s="6" t="str">
        <f aca="false">IF(AND(G71&lt;&gt;"",H71&lt;&gt;"",I71&lt;&gt;""),(G71*4)+(H71*4)+(I71*9),"")</f>
        <v/>
      </c>
      <c r="K71" s="6" t="s">
        <v>32</v>
      </c>
      <c r="L71" s="6"/>
    </row>
    <row r="72" customFormat="false" ht="15" hidden="false" customHeight="false" outlineLevel="0" collapsed="false">
      <c r="A72" s="6" t="s">
        <v>110</v>
      </c>
      <c r="B72" s="7"/>
      <c r="C72" s="6" t="s">
        <v>56</v>
      </c>
      <c r="D72" s="7"/>
      <c r="E72" s="7"/>
      <c r="F72" s="7"/>
      <c r="G72" s="7"/>
      <c r="H72" s="7"/>
      <c r="I72" s="7"/>
      <c r="J72" s="6" t="str">
        <f aca="false">IF(AND(G72&lt;&gt;"",H72&lt;&gt;"",I72&lt;&gt;""),(G72*4)+(H72*4)+(I72*9),"")</f>
        <v/>
      </c>
      <c r="K72" s="6" t="s">
        <v>32</v>
      </c>
      <c r="L72" s="6"/>
    </row>
    <row r="73" customFormat="false" ht="15" hidden="false" customHeight="false" outlineLevel="0" collapsed="false">
      <c r="A73" s="6" t="s">
        <v>111</v>
      </c>
      <c r="B73" s="7"/>
      <c r="C73" s="6" t="s">
        <v>27</v>
      </c>
      <c r="D73" s="7"/>
      <c r="E73" s="7"/>
      <c r="F73" s="7"/>
      <c r="G73" s="7"/>
      <c r="H73" s="7"/>
      <c r="I73" s="7"/>
      <c r="J73" s="6" t="str">
        <f aca="false">IF(AND(G73&lt;&gt;"",H73&lt;&gt;"",I73&lt;&gt;""),(G73*4)+(H73*4)+(I73*9),"")</f>
        <v/>
      </c>
      <c r="K73" s="6" t="s">
        <v>32</v>
      </c>
      <c r="L73" s="6"/>
    </row>
    <row r="74" customFormat="false" ht="15" hidden="false" customHeight="false" outlineLevel="0" collapsed="false">
      <c r="A74" s="6" t="s">
        <v>112</v>
      </c>
      <c r="B74" s="7"/>
      <c r="C74" s="6" t="s">
        <v>27</v>
      </c>
      <c r="D74" s="7"/>
      <c r="E74" s="7"/>
      <c r="F74" s="7"/>
      <c r="G74" s="7"/>
      <c r="H74" s="7"/>
      <c r="I74" s="7"/>
      <c r="J74" s="6" t="str">
        <f aca="false">IF(AND(G74&lt;&gt;"",H74&lt;&gt;"",I74&lt;&gt;""),(G74*4)+(H74*4)+(I74*9),"")</f>
        <v/>
      </c>
      <c r="K74" s="6" t="s">
        <v>32</v>
      </c>
      <c r="L74" s="6"/>
    </row>
    <row r="75" customFormat="false" ht="15" hidden="false" customHeight="false" outlineLevel="0" collapsed="false">
      <c r="A75" s="6" t="s">
        <v>113</v>
      </c>
      <c r="B75" s="7"/>
      <c r="C75" s="6" t="s">
        <v>27</v>
      </c>
      <c r="D75" s="7"/>
      <c r="E75" s="7"/>
      <c r="F75" s="7"/>
      <c r="G75" s="7"/>
      <c r="H75" s="7"/>
      <c r="I75" s="7"/>
      <c r="J75" s="6" t="str">
        <f aca="false">IF(AND(G75&lt;&gt;"",H75&lt;&gt;"",I75&lt;&gt;""),(G75*4)+(H75*4)+(I75*9),"")</f>
        <v/>
      </c>
      <c r="K75" s="6" t="s">
        <v>32</v>
      </c>
      <c r="L75" s="6"/>
    </row>
    <row r="76" customFormat="false" ht="15" hidden="false" customHeight="false" outlineLevel="0" collapsed="false">
      <c r="A76" s="6" t="s">
        <v>114</v>
      </c>
      <c r="B76" s="7"/>
      <c r="C76" s="6" t="s">
        <v>49</v>
      </c>
      <c r="D76" s="7"/>
      <c r="E76" s="7"/>
      <c r="F76" s="7"/>
      <c r="G76" s="7"/>
      <c r="H76" s="7"/>
      <c r="I76" s="7"/>
      <c r="J76" s="6" t="str">
        <f aca="false">IF(AND(G76&lt;&gt;"",H76&lt;&gt;"",I76&lt;&gt;""),(G76*4)+(H76*4)+(I76*9),"")</f>
        <v/>
      </c>
      <c r="K76" s="6" t="s">
        <v>32</v>
      </c>
      <c r="L76" s="6"/>
    </row>
    <row r="77" customFormat="false" ht="15" hidden="false" customHeight="false" outlineLevel="0" collapsed="false">
      <c r="A77" s="6" t="s">
        <v>115</v>
      </c>
      <c r="B77" s="7"/>
      <c r="C77" s="6" t="s">
        <v>27</v>
      </c>
      <c r="D77" s="7"/>
      <c r="E77" s="7"/>
      <c r="F77" s="7"/>
      <c r="G77" s="7"/>
      <c r="H77" s="7"/>
      <c r="I77" s="7"/>
      <c r="J77" s="6" t="str">
        <f aca="false">IF(AND(G77&lt;&gt;"",H77&lt;&gt;"",I77&lt;&gt;""),(G77*4)+(H77*4)+(I77*9),"")</f>
        <v/>
      </c>
      <c r="K77" s="6" t="s">
        <v>32</v>
      </c>
      <c r="L77" s="6"/>
    </row>
    <row r="78" customFormat="false" ht="15" hidden="false" customHeight="false" outlineLevel="0" collapsed="false">
      <c r="A78" s="6" t="s">
        <v>116</v>
      </c>
      <c r="B78" s="7"/>
      <c r="C78" s="6" t="s">
        <v>49</v>
      </c>
      <c r="D78" s="7"/>
      <c r="E78" s="7"/>
      <c r="F78" s="7"/>
      <c r="G78" s="7"/>
      <c r="H78" s="7"/>
      <c r="I78" s="7"/>
      <c r="J78" s="6" t="str">
        <f aca="false">IF(AND(G78&lt;&gt;"",H78&lt;&gt;"",I78&lt;&gt;""),(G78*4)+(H78*4)+(I78*9),"")</f>
        <v/>
      </c>
      <c r="K78" s="6" t="s">
        <v>32</v>
      </c>
      <c r="L78" s="6"/>
    </row>
    <row r="79" customFormat="false" ht="15" hidden="false" customHeight="false" outlineLevel="0" collapsed="false">
      <c r="A79" s="6" t="s">
        <v>117</v>
      </c>
      <c r="B79" s="7"/>
      <c r="C79" s="6" t="s">
        <v>49</v>
      </c>
      <c r="D79" s="7"/>
      <c r="E79" s="7"/>
      <c r="F79" s="7"/>
      <c r="G79" s="7"/>
      <c r="H79" s="7"/>
      <c r="I79" s="7"/>
      <c r="J79" s="6" t="str">
        <f aca="false">IF(AND(G79&lt;&gt;"",H79&lt;&gt;"",I79&lt;&gt;""),(G79*4)+(H79*4)+(I79*9),"")</f>
        <v/>
      </c>
      <c r="K79" s="6" t="s">
        <v>32</v>
      </c>
      <c r="L79" s="6"/>
    </row>
    <row r="80" customFormat="false" ht="15" hidden="false" customHeight="false" outlineLevel="0" collapsed="false">
      <c r="A80" s="6" t="s">
        <v>118</v>
      </c>
      <c r="B80" s="7"/>
      <c r="C80" s="6" t="s">
        <v>49</v>
      </c>
      <c r="D80" s="7"/>
      <c r="E80" s="7"/>
      <c r="F80" s="7"/>
      <c r="G80" s="7"/>
      <c r="H80" s="7"/>
      <c r="I80" s="7"/>
      <c r="J80" s="6" t="str">
        <f aca="false">IF(AND(G80&lt;&gt;"",H80&lt;&gt;"",I80&lt;&gt;""),(G80*4)+(H80*4)+(I80*9),"")</f>
        <v/>
      </c>
      <c r="K80" s="6" t="s">
        <v>32</v>
      </c>
      <c r="L80" s="6"/>
    </row>
    <row r="81" customFormat="false" ht="15" hidden="false" customHeight="false" outlineLevel="0" collapsed="false">
      <c r="A81" s="6" t="s">
        <v>119</v>
      </c>
      <c r="B81" s="7"/>
      <c r="C81" s="6" t="s">
        <v>120</v>
      </c>
      <c r="D81" s="7"/>
      <c r="E81" s="7"/>
      <c r="F81" s="7"/>
      <c r="G81" s="7"/>
      <c r="H81" s="7"/>
      <c r="I81" s="7"/>
      <c r="J81" s="6" t="str">
        <f aca="false">IF(AND(G81&lt;&gt;"",H81&lt;&gt;"",I81&lt;&gt;""),(G81*4)+(H81*4)+(I81*9),"")</f>
        <v/>
      </c>
      <c r="K81" s="6" t="s">
        <v>32</v>
      </c>
      <c r="L81" s="6"/>
    </row>
    <row r="82" customFormat="false" ht="15" hidden="false" customHeight="false" outlineLevel="0" collapsed="false">
      <c r="A82" s="6" t="s">
        <v>121</v>
      </c>
      <c r="B82" s="7"/>
      <c r="C82" s="6" t="s">
        <v>120</v>
      </c>
      <c r="D82" s="7"/>
      <c r="E82" s="7"/>
      <c r="F82" s="7"/>
      <c r="G82" s="7"/>
      <c r="H82" s="7"/>
      <c r="I82" s="7"/>
      <c r="J82" s="6" t="str">
        <f aca="false">IF(AND(G82&lt;&gt;"",H82&lt;&gt;"",I82&lt;&gt;""),(G82*4)+(H82*4)+(I82*9),"")</f>
        <v/>
      </c>
      <c r="K82" s="6" t="s">
        <v>32</v>
      </c>
      <c r="L82" s="6"/>
    </row>
    <row r="83" customFormat="false" ht="15" hidden="false" customHeight="false" outlineLevel="0" collapsed="false">
      <c r="A83" s="6" t="s">
        <v>122</v>
      </c>
      <c r="B83" s="7"/>
      <c r="C83" s="6" t="s">
        <v>120</v>
      </c>
      <c r="D83" s="7"/>
      <c r="E83" s="7"/>
      <c r="F83" s="7"/>
      <c r="G83" s="7"/>
      <c r="H83" s="7"/>
      <c r="I83" s="7"/>
      <c r="J83" s="6" t="str">
        <f aca="false">IF(AND(G83&lt;&gt;"",H83&lt;&gt;"",I83&lt;&gt;""),(G83*4)+(H83*4)+(I83*9),"")</f>
        <v/>
      </c>
      <c r="K83" s="6" t="s">
        <v>32</v>
      </c>
      <c r="L83" s="6"/>
    </row>
    <row r="84" customFormat="false" ht="15" hidden="false" customHeight="false" outlineLevel="0" collapsed="false">
      <c r="A84" s="6" t="s">
        <v>123</v>
      </c>
      <c r="B84" s="7"/>
      <c r="C84" s="6" t="s">
        <v>120</v>
      </c>
      <c r="D84" s="7"/>
      <c r="E84" s="7"/>
      <c r="F84" s="7"/>
      <c r="G84" s="7"/>
      <c r="H84" s="7"/>
      <c r="I84" s="7"/>
      <c r="J84" s="6" t="str">
        <f aca="false">IF(AND(G84&lt;&gt;"",H84&lt;&gt;"",I84&lt;&gt;""),(G84*4)+(H84*4)+(I84*9),"")</f>
        <v/>
      </c>
      <c r="K84" s="6" t="s">
        <v>32</v>
      </c>
      <c r="L84" s="6"/>
    </row>
    <row r="85" customFormat="false" ht="15" hidden="false" customHeight="false" outlineLevel="0" collapsed="false">
      <c r="A85" s="6" t="s">
        <v>124</v>
      </c>
      <c r="B85" s="7"/>
      <c r="C85" s="6" t="s">
        <v>120</v>
      </c>
      <c r="D85" s="7"/>
      <c r="E85" s="7"/>
      <c r="F85" s="7"/>
      <c r="G85" s="7"/>
      <c r="H85" s="7"/>
      <c r="I85" s="7"/>
      <c r="J85" s="6" t="str">
        <f aca="false">IF(AND(G85&lt;&gt;"",H85&lt;&gt;"",I85&lt;&gt;""),(G85*4)+(H85*4)+(I85*9),"")</f>
        <v/>
      </c>
      <c r="K85" s="6" t="s">
        <v>32</v>
      </c>
      <c r="L85" s="6"/>
    </row>
    <row r="86" customFormat="false" ht="15" hidden="false" customHeight="false" outlineLevel="0" collapsed="false">
      <c r="A86" s="6" t="s">
        <v>125</v>
      </c>
      <c r="B86" s="7"/>
      <c r="C86" s="6" t="s">
        <v>35</v>
      </c>
      <c r="D86" s="7"/>
      <c r="E86" s="7"/>
      <c r="F86" s="7"/>
      <c r="G86" s="7"/>
      <c r="H86" s="7"/>
      <c r="I86" s="7"/>
      <c r="J86" s="6" t="str">
        <f aca="false">IF(AND(G86&lt;&gt;"",H86&lt;&gt;"",I86&lt;&gt;""),(G86*4)+(H86*4)+(I86*9),"")</f>
        <v/>
      </c>
      <c r="K86" s="6" t="s">
        <v>32</v>
      </c>
      <c r="L86" s="6"/>
    </row>
    <row r="87" customFormat="false" ht="15" hidden="false" customHeight="false" outlineLevel="0" collapsed="false">
      <c r="A87" s="6" t="s">
        <v>126</v>
      </c>
      <c r="B87" s="7"/>
      <c r="C87" s="6" t="s">
        <v>89</v>
      </c>
      <c r="D87" s="7"/>
      <c r="E87" s="7"/>
      <c r="F87" s="7"/>
      <c r="G87" s="7"/>
      <c r="H87" s="7"/>
      <c r="I87" s="7"/>
      <c r="J87" s="6" t="str">
        <f aca="false">IF(AND(G87&lt;&gt;"",H87&lt;&gt;"",I87&lt;&gt;""),(G87*4)+(H87*4)+(I87*9),"")</f>
        <v/>
      </c>
      <c r="K87" s="6" t="s">
        <v>32</v>
      </c>
      <c r="L87" s="6"/>
    </row>
    <row r="88" customFormat="false" ht="15" hidden="false" customHeight="false" outlineLevel="0" collapsed="false">
      <c r="A88" s="6" t="s">
        <v>127</v>
      </c>
      <c r="B88" s="7"/>
      <c r="C88" s="6" t="s">
        <v>89</v>
      </c>
      <c r="D88" s="7"/>
      <c r="E88" s="7"/>
      <c r="F88" s="7"/>
      <c r="G88" s="7"/>
      <c r="H88" s="7"/>
      <c r="I88" s="7"/>
      <c r="J88" s="6" t="str">
        <f aca="false">IF(AND(G88&lt;&gt;"",H88&lt;&gt;"",I88&lt;&gt;""),(G88*4)+(H88*4)+(I88*9),"")</f>
        <v/>
      </c>
      <c r="K88" s="6" t="s">
        <v>32</v>
      </c>
      <c r="L88" s="6"/>
    </row>
    <row r="89" customFormat="false" ht="15" hidden="false" customHeight="false" outlineLevel="0" collapsed="false">
      <c r="A89" s="6" t="s">
        <v>128</v>
      </c>
      <c r="B89" s="7"/>
      <c r="C89" s="6" t="s">
        <v>60</v>
      </c>
      <c r="D89" s="7"/>
      <c r="E89" s="7"/>
      <c r="F89" s="7"/>
      <c r="G89" s="7"/>
      <c r="H89" s="7"/>
      <c r="I89" s="7"/>
      <c r="J89" s="6" t="str">
        <f aca="false">IF(AND(G89&lt;&gt;"",H89&lt;&gt;"",I89&lt;&gt;""),(G89*4)+(H89*4)+(I89*9),"")</f>
        <v/>
      </c>
      <c r="K89" s="6" t="s">
        <v>32</v>
      </c>
      <c r="L89" s="6"/>
    </row>
    <row r="90" customFormat="false" ht="15" hidden="false" customHeight="false" outlineLevel="0" collapsed="false">
      <c r="A90" s="6" t="s">
        <v>129</v>
      </c>
      <c r="B90" s="7"/>
      <c r="C90" s="6" t="s">
        <v>56</v>
      </c>
      <c r="D90" s="7"/>
      <c r="E90" s="7"/>
      <c r="F90" s="7"/>
      <c r="G90" s="7"/>
      <c r="H90" s="7"/>
      <c r="I90" s="7"/>
      <c r="J90" s="6" t="str">
        <f aca="false">IF(AND(G90&lt;&gt;"",H90&lt;&gt;"",I90&lt;&gt;""),(G90*4)+(H90*4)+(I90*9),"")</f>
        <v/>
      </c>
      <c r="K90" s="6" t="s">
        <v>32</v>
      </c>
      <c r="L90" s="6"/>
    </row>
    <row r="91" customFormat="false" ht="15" hidden="false" customHeight="false" outlineLevel="0" collapsed="false">
      <c r="A91" s="6" t="s">
        <v>130</v>
      </c>
      <c r="B91" s="7"/>
      <c r="C91" s="6" t="s">
        <v>56</v>
      </c>
      <c r="D91" s="7"/>
      <c r="E91" s="7"/>
      <c r="F91" s="7"/>
      <c r="G91" s="7"/>
      <c r="H91" s="7"/>
      <c r="I91" s="7"/>
      <c r="J91" s="6" t="str">
        <f aca="false">IF(AND(G91&lt;&gt;"",H91&lt;&gt;"",I91&lt;&gt;""),(G91*4)+(H91*4)+(I91*9),"")</f>
        <v/>
      </c>
      <c r="K91" s="6" t="s">
        <v>32</v>
      </c>
      <c r="L91" s="6"/>
    </row>
    <row r="92" customFormat="false" ht="15" hidden="false" customHeight="false" outlineLevel="0" collapsed="false">
      <c r="A92" s="6" t="s">
        <v>131</v>
      </c>
      <c r="B92" s="7"/>
      <c r="C92" s="6" t="s">
        <v>56</v>
      </c>
      <c r="D92" s="7"/>
      <c r="E92" s="7"/>
      <c r="F92" s="7"/>
      <c r="G92" s="7"/>
      <c r="H92" s="7"/>
      <c r="I92" s="7"/>
      <c r="J92" s="6" t="str">
        <f aca="false">IF(AND(G92&lt;&gt;"",H92&lt;&gt;"",I92&lt;&gt;""),(G92*4)+(H92*4)+(I92*9),"")</f>
        <v/>
      </c>
      <c r="K92" s="6" t="s">
        <v>32</v>
      </c>
      <c r="L92" s="6"/>
    </row>
    <row r="93" customFormat="false" ht="15" hidden="false" customHeight="false" outlineLevel="0" collapsed="false">
      <c r="A93" s="6" t="s">
        <v>132</v>
      </c>
      <c r="B93" s="7"/>
      <c r="C93" s="6" t="s">
        <v>35</v>
      </c>
      <c r="D93" s="7"/>
      <c r="E93" s="7"/>
      <c r="F93" s="7"/>
      <c r="G93" s="7"/>
      <c r="H93" s="7"/>
      <c r="I93" s="7"/>
      <c r="J93" s="6" t="str">
        <f aca="false">IF(AND(G93&lt;&gt;"",H93&lt;&gt;"",I93&lt;&gt;""),(G93*4)+(H93*4)+(I93*9),"")</f>
        <v/>
      </c>
      <c r="K93" s="6" t="s">
        <v>32</v>
      </c>
      <c r="L93" s="6"/>
    </row>
    <row r="94" customFormat="false" ht="15" hidden="false" customHeight="false" outlineLevel="0" collapsed="false">
      <c r="A94" s="6" t="s">
        <v>133</v>
      </c>
      <c r="B94" s="7"/>
      <c r="C94" s="6" t="s">
        <v>56</v>
      </c>
      <c r="D94" s="7"/>
      <c r="E94" s="7"/>
      <c r="F94" s="7"/>
      <c r="G94" s="7"/>
      <c r="H94" s="7"/>
      <c r="I94" s="7"/>
      <c r="J94" s="6" t="str">
        <f aca="false">IF(AND(G94&lt;&gt;"",H94&lt;&gt;"",I94&lt;&gt;""),(G94*4)+(H94*4)+(I94*9),"")</f>
        <v/>
      </c>
      <c r="K94" s="6" t="s">
        <v>32</v>
      </c>
      <c r="L94" s="6"/>
    </row>
    <row r="95" customFormat="false" ht="15" hidden="false" customHeight="false" outlineLevel="0" collapsed="false">
      <c r="A95" s="6" t="s">
        <v>134</v>
      </c>
      <c r="B95" s="7"/>
      <c r="C95" s="6" t="s">
        <v>135</v>
      </c>
      <c r="D95" s="7"/>
      <c r="E95" s="7"/>
      <c r="F95" s="7"/>
      <c r="G95" s="7"/>
      <c r="H95" s="7"/>
      <c r="I95" s="7"/>
      <c r="J95" s="6" t="str">
        <f aca="false">IF(AND(G95&lt;&gt;"",H95&lt;&gt;"",I95&lt;&gt;""),(G95*4)+(H95*4)+(I95*9),"")</f>
        <v/>
      </c>
      <c r="K95" s="6" t="s">
        <v>32</v>
      </c>
      <c r="L95" s="6"/>
    </row>
    <row r="96" customFormat="false" ht="15" hidden="false" customHeight="false" outlineLevel="0" collapsed="false">
      <c r="A96" s="6" t="s">
        <v>136</v>
      </c>
      <c r="B96" s="7"/>
      <c r="C96" s="6" t="s">
        <v>135</v>
      </c>
      <c r="D96" s="7"/>
      <c r="E96" s="7"/>
      <c r="F96" s="7"/>
      <c r="G96" s="7"/>
      <c r="H96" s="7"/>
      <c r="I96" s="7"/>
      <c r="J96" s="6" t="str">
        <f aca="false">IF(AND(G96&lt;&gt;"",H96&lt;&gt;"",I96&lt;&gt;""),(G96*4)+(H96*4)+(I96*9),"")</f>
        <v/>
      </c>
      <c r="K96" s="6" t="s">
        <v>32</v>
      </c>
      <c r="L96" s="6"/>
    </row>
    <row r="97" customFormat="false" ht="15" hidden="false" customHeight="false" outlineLevel="0" collapsed="false">
      <c r="A97" s="6" t="s">
        <v>137</v>
      </c>
      <c r="B97" s="7"/>
      <c r="C97" s="6" t="s">
        <v>135</v>
      </c>
      <c r="D97" s="7"/>
      <c r="E97" s="7"/>
      <c r="F97" s="7"/>
      <c r="G97" s="7"/>
      <c r="H97" s="7"/>
      <c r="I97" s="7"/>
      <c r="J97" s="6" t="str">
        <f aca="false">IF(AND(G97&lt;&gt;"",H97&lt;&gt;"",I97&lt;&gt;""),(G97*4)+(H97*4)+(I97*9),"")</f>
        <v/>
      </c>
      <c r="K97" s="6" t="s">
        <v>32</v>
      </c>
      <c r="L97" s="6"/>
    </row>
    <row r="98" customFormat="false" ht="15" hidden="false" customHeight="false" outlineLevel="0" collapsed="false">
      <c r="A98" s="6" t="s">
        <v>138</v>
      </c>
      <c r="B98" s="7"/>
      <c r="C98" s="6" t="s">
        <v>135</v>
      </c>
      <c r="D98" s="7"/>
      <c r="E98" s="7"/>
      <c r="F98" s="7"/>
      <c r="G98" s="7"/>
      <c r="H98" s="7"/>
      <c r="I98" s="7"/>
      <c r="J98" s="6" t="str">
        <f aca="false">IF(AND(G98&lt;&gt;"",H98&lt;&gt;"",I98&lt;&gt;""),(G98*4)+(H98*4)+(I98*9),"")</f>
        <v/>
      </c>
      <c r="K98" s="6" t="s">
        <v>32</v>
      </c>
      <c r="L98" s="6"/>
    </row>
    <row r="99" customFormat="false" ht="15" hidden="false" customHeight="false" outlineLevel="0" collapsed="false">
      <c r="A99" s="6" t="s">
        <v>139</v>
      </c>
      <c r="B99" s="7"/>
      <c r="C99" s="6" t="s">
        <v>135</v>
      </c>
      <c r="D99" s="7"/>
      <c r="E99" s="7"/>
      <c r="F99" s="7"/>
      <c r="G99" s="7"/>
      <c r="H99" s="7"/>
      <c r="I99" s="7"/>
      <c r="J99" s="6" t="str">
        <f aca="false">IF(AND(G99&lt;&gt;"",H99&lt;&gt;"",I99&lt;&gt;""),(G99*4)+(H99*4)+(I99*9),"")</f>
        <v/>
      </c>
      <c r="K99" s="6" t="s">
        <v>32</v>
      </c>
      <c r="L99" s="6"/>
    </row>
    <row r="100" customFormat="false" ht="15" hidden="false" customHeight="false" outlineLevel="0" collapsed="false">
      <c r="A100" s="6" t="s">
        <v>140</v>
      </c>
      <c r="B100" s="7"/>
      <c r="C100" s="6" t="s">
        <v>53</v>
      </c>
      <c r="D100" s="7"/>
      <c r="E100" s="7"/>
      <c r="F100" s="7"/>
      <c r="G100" s="7"/>
      <c r="H100" s="7"/>
      <c r="I100" s="7"/>
      <c r="J100" s="6" t="str">
        <f aca="false">IF(AND(G100&lt;&gt;"",H100&lt;&gt;"",I100&lt;&gt;""),(G100*4)+(H100*4)+(I100*9),"")</f>
        <v/>
      </c>
      <c r="K100" s="6" t="s">
        <v>32</v>
      </c>
      <c r="L100" s="6"/>
    </row>
    <row r="101" customFormat="false" ht="15" hidden="false" customHeight="false" outlineLevel="0" collapsed="false">
      <c r="A101" s="6" t="s">
        <v>141</v>
      </c>
      <c r="B101" s="7"/>
      <c r="C101" s="6" t="s">
        <v>53</v>
      </c>
      <c r="D101" s="7"/>
      <c r="E101" s="7"/>
      <c r="F101" s="7"/>
      <c r="G101" s="7"/>
      <c r="H101" s="7"/>
      <c r="I101" s="7"/>
      <c r="J101" s="6" t="str">
        <f aca="false">IF(AND(G101&lt;&gt;"",H101&lt;&gt;"",I101&lt;&gt;""),(G101*4)+(H101*4)+(I101*9),"")</f>
        <v/>
      </c>
      <c r="K101" s="6" t="s">
        <v>32</v>
      </c>
      <c r="L101" s="6"/>
    </row>
    <row r="102" customFormat="false" ht="15" hidden="false" customHeight="false" outlineLevel="0" collapsed="false">
      <c r="A102" s="6" t="s">
        <v>142</v>
      </c>
      <c r="B102" s="7"/>
      <c r="C102" s="6" t="s">
        <v>53</v>
      </c>
      <c r="D102" s="7"/>
      <c r="E102" s="7"/>
      <c r="F102" s="7"/>
      <c r="G102" s="7"/>
      <c r="H102" s="7"/>
      <c r="I102" s="7"/>
      <c r="J102" s="6" t="str">
        <f aca="false">IF(AND(G102&lt;&gt;"",H102&lt;&gt;"",I102&lt;&gt;""),(G102*4)+(H102*4)+(I102*9),"")</f>
        <v/>
      </c>
      <c r="K102" s="6" t="s">
        <v>32</v>
      </c>
      <c r="L102" s="6"/>
    </row>
    <row r="103" customFormat="false" ht="15" hidden="false" customHeight="false" outlineLevel="0" collapsed="false">
      <c r="A103" s="6" t="s">
        <v>143</v>
      </c>
      <c r="B103" s="7"/>
      <c r="C103" s="6" t="s">
        <v>53</v>
      </c>
      <c r="D103" s="7"/>
      <c r="E103" s="7"/>
      <c r="F103" s="7"/>
      <c r="G103" s="7"/>
      <c r="H103" s="7"/>
      <c r="I103" s="7"/>
      <c r="J103" s="6" t="str">
        <f aca="false">IF(AND(G103&lt;&gt;"",H103&lt;&gt;"",I103&lt;&gt;""),(G103*4)+(H103*4)+(I103*9),"")</f>
        <v/>
      </c>
      <c r="K103" s="6" t="s">
        <v>32</v>
      </c>
      <c r="L103" s="6"/>
    </row>
    <row r="104" customFormat="false" ht="15" hidden="false" customHeight="false" outlineLevel="0" collapsed="false">
      <c r="A104" s="6" t="s">
        <v>144</v>
      </c>
      <c r="B104" s="7"/>
      <c r="C104" s="6" t="s">
        <v>53</v>
      </c>
      <c r="D104" s="7"/>
      <c r="E104" s="7"/>
      <c r="F104" s="7"/>
      <c r="G104" s="7"/>
      <c r="H104" s="7"/>
      <c r="I104" s="7"/>
      <c r="J104" s="6" t="str">
        <f aca="false">IF(AND(G104&lt;&gt;"",H104&lt;&gt;"",I104&lt;&gt;""),(G104*4)+(H104*4)+(I104*9),"")</f>
        <v/>
      </c>
      <c r="K104" s="6" t="s">
        <v>32</v>
      </c>
      <c r="L104" s="6"/>
    </row>
    <row r="105" customFormat="false" ht="15" hidden="false" customHeight="false" outlineLevel="0" collapsed="false">
      <c r="A105" s="6" t="s">
        <v>145</v>
      </c>
      <c r="B105" s="7"/>
      <c r="C105" s="6" t="s">
        <v>53</v>
      </c>
      <c r="D105" s="7"/>
      <c r="E105" s="7"/>
      <c r="F105" s="7"/>
      <c r="G105" s="7"/>
      <c r="H105" s="7"/>
      <c r="I105" s="7"/>
      <c r="J105" s="6" t="str">
        <f aca="false">IF(AND(G105&lt;&gt;"",H105&lt;&gt;"",I105&lt;&gt;""),(G105*4)+(H105*4)+(I105*9),"")</f>
        <v/>
      </c>
      <c r="K105" s="6" t="s">
        <v>32</v>
      </c>
      <c r="L105" s="6"/>
    </row>
    <row r="106" customFormat="false" ht="15" hidden="false" customHeight="false" outlineLevel="0" collapsed="false">
      <c r="A106" s="6" t="s">
        <v>146</v>
      </c>
      <c r="B106" s="7"/>
      <c r="C106" s="6" t="s">
        <v>53</v>
      </c>
      <c r="D106" s="7"/>
      <c r="E106" s="7"/>
      <c r="F106" s="7"/>
      <c r="G106" s="7"/>
      <c r="H106" s="7"/>
      <c r="I106" s="7"/>
      <c r="J106" s="6" t="str">
        <f aca="false">IF(AND(G106&lt;&gt;"",H106&lt;&gt;"",I106&lt;&gt;""),(G106*4)+(H106*4)+(I106*9),"")</f>
        <v/>
      </c>
      <c r="K106" s="6" t="s">
        <v>32</v>
      </c>
      <c r="L106" s="6"/>
    </row>
    <row r="107" customFormat="false" ht="15" hidden="false" customHeight="false" outlineLevel="0" collapsed="false">
      <c r="A107" s="6" t="s">
        <v>147</v>
      </c>
      <c r="B107" s="7"/>
      <c r="C107" s="6" t="s">
        <v>78</v>
      </c>
      <c r="D107" s="7"/>
      <c r="E107" s="7"/>
      <c r="F107" s="7"/>
      <c r="G107" s="7"/>
      <c r="H107" s="7"/>
      <c r="I107" s="7"/>
      <c r="J107" s="6" t="str">
        <f aca="false">IF(AND(G107&lt;&gt;"",H107&lt;&gt;"",I107&lt;&gt;""),(G107*4)+(H107*4)+(I107*9),"")</f>
        <v/>
      </c>
      <c r="K107" s="6" t="s">
        <v>32</v>
      </c>
      <c r="L107" s="6"/>
    </row>
    <row r="108" customFormat="false" ht="15" hidden="false" customHeight="false" outlineLevel="0" collapsed="false">
      <c r="A108" s="6" t="s">
        <v>148</v>
      </c>
      <c r="B108" s="7"/>
      <c r="C108" s="6" t="s">
        <v>78</v>
      </c>
      <c r="D108" s="7"/>
      <c r="E108" s="7"/>
      <c r="F108" s="7"/>
      <c r="G108" s="7"/>
      <c r="H108" s="7"/>
      <c r="I108" s="7"/>
      <c r="J108" s="6" t="str">
        <f aca="false">IF(AND(G108&lt;&gt;"",H108&lt;&gt;"",I108&lt;&gt;""),(G108*4)+(H108*4)+(I108*9),"")</f>
        <v/>
      </c>
      <c r="K108" s="6" t="s">
        <v>32</v>
      </c>
      <c r="L108" s="6"/>
    </row>
    <row r="109" customFormat="false" ht="15" hidden="false" customHeight="false" outlineLevel="0" collapsed="false">
      <c r="A109" s="6" t="s">
        <v>149</v>
      </c>
      <c r="B109" s="7"/>
      <c r="C109" s="6" t="s">
        <v>83</v>
      </c>
      <c r="D109" s="7"/>
      <c r="E109" s="7"/>
      <c r="F109" s="7"/>
      <c r="G109" s="7"/>
      <c r="H109" s="7"/>
      <c r="I109" s="7"/>
      <c r="J109" s="6" t="str">
        <f aca="false">IF(AND(G109&lt;&gt;"",H109&lt;&gt;"",I109&lt;&gt;""),(G109*4)+(H109*4)+(I109*9),"")</f>
        <v/>
      </c>
      <c r="K109" s="6" t="s">
        <v>32</v>
      </c>
      <c r="L109" s="6"/>
    </row>
    <row r="110" customFormat="false" ht="15" hidden="false" customHeight="false" outlineLevel="0" collapsed="false">
      <c r="A110" s="6" t="s">
        <v>150</v>
      </c>
      <c r="B110" s="7"/>
      <c r="C110" s="6" t="s">
        <v>83</v>
      </c>
      <c r="D110" s="7"/>
      <c r="E110" s="7"/>
      <c r="F110" s="7"/>
      <c r="G110" s="7"/>
      <c r="H110" s="7"/>
      <c r="I110" s="7"/>
      <c r="J110" s="6" t="str">
        <f aca="false">IF(AND(G110&lt;&gt;"",H110&lt;&gt;"",I110&lt;&gt;""),(G110*4)+(H110*4)+(I110*9),"")</f>
        <v/>
      </c>
      <c r="K110" s="6" t="s">
        <v>32</v>
      </c>
      <c r="L110" s="6"/>
    </row>
    <row r="111" customFormat="false" ht="15" hidden="false" customHeight="false" outlineLevel="0" collapsed="false">
      <c r="A111" s="6" t="s">
        <v>151</v>
      </c>
      <c r="B111" s="7"/>
      <c r="C111" s="6" t="s">
        <v>83</v>
      </c>
      <c r="D111" s="7"/>
      <c r="E111" s="7"/>
      <c r="F111" s="7"/>
      <c r="G111" s="7"/>
      <c r="H111" s="7"/>
      <c r="I111" s="7"/>
      <c r="J111" s="6" t="str">
        <f aca="false">IF(AND(G111&lt;&gt;"",H111&lt;&gt;"",I111&lt;&gt;""),(G111*4)+(H111*4)+(I111*9),"")</f>
        <v/>
      </c>
      <c r="K111" s="6" t="s">
        <v>32</v>
      </c>
      <c r="L111" s="6"/>
    </row>
    <row r="112" customFormat="false" ht="15" hidden="false" customHeight="false" outlineLevel="0" collapsed="false">
      <c r="A112" s="6" t="s">
        <v>152</v>
      </c>
      <c r="B112" s="7"/>
      <c r="C112" s="6" t="s">
        <v>83</v>
      </c>
      <c r="D112" s="7"/>
      <c r="E112" s="7"/>
      <c r="F112" s="7"/>
      <c r="G112" s="7"/>
      <c r="H112" s="7"/>
      <c r="I112" s="7"/>
      <c r="J112" s="6" t="str">
        <f aca="false">IF(AND(G112&lt;&gt;"",H112&lt;&gt;"",I112&lt;&gt;""),(G112*4)+(H112*4)+(I112*9),"")</f>
        <v/>
      </c>
      <c r="K112" s="6" t="s">
        <v>32</v>
      </c>
      <c r="L112" s="6"/>
    </row>
    <row r="113" customFormat="false" ht="15" hidden="false" customHeight="false" outlineLevel="0" collapsed="false">
      <c r="A113" s="6" t="s">
        <v>153</v>
      </c>
      <c r="B113" s="7"/>
      <c r="C113" s="6" t="s">
        <v>83</v>
      </c>
      <c r="D113" s="7"/>
      <c r="E113" s="7"/>
      <c r="F113" s="7"/>
      <c r="G113" s="7"/>
      <c r="H113" s="7"/>
      <c r="I113" s="7"/>
      <c r="J113" s="6" t="str">
        <f aca="false">IF(AND(G113&lt;&gt;"",H113&lt;&gt;"",I113&lt;&gt;""),(G113*4)+(H113*4)+(I113*9),"")</f>
        <v/>
      </c>
      <c r="K113" s="6" t="s">
        <v>32</v>
      </c>
      <c r="L113" s="6"/>
    </row>
    <row r="114" customFormat="false" ht="15" hidden="false" customHeight="false" outlineLevel="0" collapsed="false">
      <c r="A114" s="6" t="s">
        <v>154</v>
      </c>
      <c r="B114" s="7"/>
      <c r="C114" s="6" t="s">
        <v>83</v>
      </c>
      <c r="D114" s="7"/>
      <c r="E114" s="7"/>
      <c r="F114" s="7"/>
      <c r="G114" s="7"/>
      <c r="H114" s="7"/>
      <c r="I114" s="7"/>
      <c r="J114" s="6" t="str">
        <f aca="false">IF(AND(G114&lt;&gt;"",H114&lt;&gt;"",I114&lt;&gt;""),(G114*4)+(H114*4)+(I114*9),"")</f>
        <v/>
      </c>
      <c r="K114" s="6" t="s">
        <v>32</v>
      </c>
      <c r="L114" s="6"/>
    </row>
    <row r="115" customFormat="false" ht="15" hidden="false" customHeight="false" outlineLevel="0" collapsed="false">
      <c r="A115" s="6" t="s">
        <v>155</v>
      </c>
      <c r="B115" s="7"/>
      <c r="C115" s="6" t="s">
        <v>156</v>
      </c>
      <c r="D115" s="7"/>
      <c r="E115" s="7"/>
      <c r="F115" s="7"/>
      <c r="G115" s="7"/>
      <c r="H115" s="7"/>
      <c r="I115" s="7"/>
      <c r="J115" s="6" t="str">
        <f aca="false">IF(AND(G115&lt;&gt;"",H115&lt;&gt;"",I115&lt;&gt;""),(G115*4)+(H115*4)+(I115*9),"")</f>
        <v/>
      </c>
      <c r="K115" s="6" t="s">
        <v>32</v>
      </c>
      <c r="L115" s="6"/>
    </row>
    <row r="116" customFormat="false" ht="15" hidden="false" customHeight="false" outlineLevel="0" collapsed="false">
      <c r="A116" s="6" t="s">
        <v>157</v>
      </c>
      <c r="B116" s="7"/>
      <c r="C116" s="6" t="s">
        <v>156</v>
      </c>
      <c r="D116" s="7"/>
      <c r="E116" s="7"/>
      <c r="F116" s="7"/>
      <c r="G116" s="7"/>
      <c r="H116" s="7"/>
      <c r="I116" s="7"/>
      <c r="J116" s="6" t="str">
        <f aca="false">IF(AND(G116&lt;&gt;"",H116&lt;&gt;"",I116&lt;&gt;""),(G116*4)+(H116*4)+(I116*9),"")</f>
        <v/>
      </c>
      <c r="K116" s="6" t="s">
        <v>32</v>
      </c>
      <c r="L116" s="6"/>
    </row>
    <row r="117" customFormat="false" ht="15" hidden="false" customHeight="false" outlineLevel="0" collapsed="false">
      <c r="A117" s="6" t="s">
        <v>158</v>
      </c>
      <c r="B117" s="7"/>
      <c r="C117" s="6" t="s">
        <v>156</v>
      </c>
      <c r="D117" s="7"/>
      <c r="E117" s="7"/>
      <c r="F117" s="7"/>
      <c r="G117" s="7"/>
      <c r="H117" s="7"/>
      <c r="I117" s="7"/>
      <c r="J117" s="6" t="str">
        <f aca="false">IF(AND(G117&lt;&gt;"",H117&lt;&gt;"",I117&lt;&gt;""),(G117*4)+(H117*4)+(I117*9),"")</f>
        <v/>
      </c>
      <c r="K117" s="6" t="s">
        <v>32</v>
      </c>
      <c r="L117" s="6"/>
    </row>
    <row r="118" customFormat="false" ht="15" hidden="false" customHeight="false" outlineLevel="0" collapsed="false">
      <c r="A118" s="6" t="s">
        <v>159</v>
      </c>
      <c r="B118" s="7"/>
      <c r="C118" s="6" t="s">
        <v>156</v>
      </c>
      <c r="D118" s="7"/>
      <c r="E118" s="7"/>
      <c r="F118" s="7"/>
      <c r="G118" s="7"/>
      <c r="H118" s="7"/>
      <c r="I118" s="7"/>
      <c r="J118" s="6" t="str">
        <f aca="false">IF(AND(G118&lt;&gt;"",H118&lt;&gt;"",I118&lt;&gt;""),(G118*4)+(H118*4)+(I118*9),"")</f>
        <v/>
      </c>
      <c r="K118" s="6" t="s">
        <v>32</v>
      </c>
      <c r="L118" s="6"/>
    </row>
    <row r="119" customFormat="false" ht="15" hidden="false" customHeight="false" outlineLevel="0" collapsed="false">
      <c r="A119" s="6" t="s">
        <v>160</v>
      </c>
      <c r="B119" s="7"/>
      <c r="C119" s="6" t="s">
        <v>156</v>
      </c>
      <c r="D119" s="7"/>
      <c r="E119" s="7"/>
      <c r="F119" s="7"/>
      <c r="G119" s="7"/>
      <c r="H119" s="7"/>
      <c r="I119" s="7"/>
      <c r="J119" s="6" t="str">
        <f aca="false">IF(AND(G119&lt;&gt;"",H119&lt;&gt;"",I119&lt;&gt;""),(G119*4)+(H119*4)+(I119*9),"")</f>
        <v/>
      </c>
      <c r="K119" s="6" t="s">
        <v>32</v>
      </c>
      <c r="L119" s="6"/>
    </row>
    <row r="120" customFormat="false" ht="15" hidden="false" customHeight="false" outlineLevel="0" collapsed="false">
      <c r="A120" s="6" t="s">
        <v>161</v>
      </c>
      <c r="B120" s="7"/>
      <c r="C120" s="6" t="s">
        <v>162</v>
      </c>
      <c r="D120" s="7"/>
      <c r="E120" s="7"/>
      <c r="F120" s="7"/>
      <c r="G120" s="7"/>
      <c r="H120" s="7"/>
      <c r="I120" s="7"/>
      <c r="J120" s="6" t="str">
        <f aca="false">IF(AND(G120&lt;&gt;"",H120&lt;&gt;"",I120&lt;&gt;""),(G120*4)+(H120*4)+(I120*9),"")</f>
        <v/>
      </c>
      <c r="K120" s="6" t="s">
        <v>32</v>
      </c>
      <c r="L120" s="6"/>
    </row>
    <row r="121" customFormat="false" ht="15" hidden="false" customHeight="false" outlineLevel="0" collapsed="false">
      <c r="A121" s="6" t="s">
        <v>163</v>
      </c>
      <c r="B121" s="7"/>
      <c r="C121" s="6" t="s">
        <v>162</v>
      </c>
      <c r="D121" s="7"/>
      <c r="E121" s="7"/>
      <c r="F121" s="7"/>
      <c r="G121" s="7"/>
      <c r="H121" s="7"/>
      <c r="I121" s="7"/>
      <c r="J121" s="6" t="str">
        <f aca="false">IF(AND(G121&lt;&gt;"",H121&lt;&gt;"",I121&lt;&gt;""),(G121*4)+(H121*4)+(I121*9),"")</f>
        <v/>
      </c>
      <c r="K121" s="6" t="s">
        <v>32</v>
      </c>
      <c r="L121" s="6"/>
    </row>
    <row r="122" customFormat="false" ht="15" hidden="false" customHeight="false" outlineLevel="0" collapsed="false">
      <c r="A122" s="6" t="s">
        <v>164</v>
      </c>
      <c r="B122" s="7"/>
      <c r="C122" s="6" t="s">
        <v>162</v>
      </c>
      <c r="D122" s="7"/>
      <c r="E122" s="7"/>
      <c r="F122" s="7"/>
      <c r="G122" s="7"/>
      <c r="H122" s="7"/>
      <c r="I122" s="7"/>
      <c r="J122" s="6" t="str">
        <f aca="false">IF(AND(G122&lt;&gt;"",H122&lt;&gt;"",I122&lt;&gt;""),(G122*4)+(H122*4)+(I122*9),"")</f>
        <v/>
      </c>
      <c r="K122" s="6" t="s">
        <v>32</v>
      </c>
      <c r="L122" s="6"/>
    </row>
    <row r="123" customFormat="false" ht="15" hidden="false" customHeight="false" outlineLevel="0" collapsed="false">
      <c r="A123" s="6" t="s">
        <v>165</v>
      </c>
      <c r="B123" s="7"/>
      <c r="C123" s="6" t="s">
        <v>162</v>
      </c>
      <c r="D123" s="7"/>
      <c r="E123" s="7"/>
      <c r="F123" s="7"/>
      <c r="G123" s="7"/>
      <c r="H123" s="7"/>
      <c r="I123" s="7"/>
      <c r="J123" s="6" t="str">
        <f aca="false">IF(AND(G123&lt;&gt;"",H123&lt;&gt;"",I123&lt;&gt;""),(G123*4)+(H123*4)+(I123*9),"")</f>
        <v/>
      </c>
      <c r="K123" s="6" t="s">
        <v>32</v>
      </c>
      <c r="L123" s="6"/>
    </row>
    <row r="124" customFormat="false" ht="15" hidden="false" customHeight="false" outlineLevel="0" collapsed="false">
      <c r="A124" s="6" t="s">
        <v>166</v>
      </c>
      <c r="B124" s="7"/>
      <c r="C124" s="6" t="s">
        <v>162</v>
      </c>
      <c r="D124" s="7"/>
      <c r="E124" s="7"/>
      <c r="F124" s="7"/>
      <c r="G124" s="7"/>
      <c r="H124" s="7"/>
      <c r="I124" s="7"/>
      <c r="J124" s="6" t="str">
        <f aca="false">IF(AND(G124&lt;&gt;"",H124&lt;&gt;"",I124&lt;&gt;""),(G124*4)+(H124*4)+(I124*9),"")</f>
        <v/>
      </c>
      <c r="K124" s="6" t="s">
        <v>32</v>
      </c>
      <c r="L124" s="6"/>
    </row>
    <row r="125" customFormat="false" ht="15" hidden="false" customHeight="false" outlineLevel="0" collapsed="false">
      <c r="A125" s="6" t="s">
        <v>167</v>
      </c>
      <c r="B125" s="7"/>
      <c r="C125" s="6" t="s">
        <v>162</v>
      </c>
      <c r="D125" s="7"/>
      <c r="E125" s="7"/>
      <c r="F125" s="7"/>
      <c r="G125" s="7"/>
      <c r="H125" s="7"/>
      <c r="I125" s="7"/>
      <c r="J125" s="6" t="str">
        <f aca="false">IF(AND(G125&lt;&gt;"",H125&lt;&gt;"",I125&lt;&gt;""),(G125*4)+(H125*4)+(I125*9),"")</f>
        <v/>
      </c>
      <c r="K125" s="6" t="s">
        <v>32</v>
      </c>
      <c r="L1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2026-08-29T06:44:21Z</dcterms:created>
  <dc:creator>openpyxl</dc:creator>
  <dc:description/>
  <dc:language>en-US</dc:language>
  <cp:lastModifiedBy/>
  <dcterms:modified xsi:type="dcterms:W3CDTF">2026-08-29T06:44:21Z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